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ccesshub.sharepoint.com/teams/IND-EBO-Dental/EBODental_GIR/EBO_PDS_NonPHI_GIR/Claims Review/Review GI (C)/Claims Review - Audit Underpaid/Audit Underpaid_SOP/Revenue Cycle Knowledge Bank - Giveaway Bundle/"/>
    </mc:Choice>
  </mc:AlternateContent>
  <xr:revisionPtr revIDLastSave="1" documentId="8_{0FEC081A-904D-49AC-9F1E-A4A43FAA82E2}" xr6:coauthVersionLast="47" xr6:coauthVersionMax="47" xr10:uidLastSave="{291214DF-BE12-4A4E-8420-A4D2BFE4CD4E}"/>
  <bookViews>
    <workbookView xWindow="28680" yWindow="-120" windowWidth="29040" windowHeight="15720" xr2:uid="{00000000-000D-0000-FFFF-FFFF00000000}"/>
  </bookViews>
  <sheets>
    <sheet name="AR Follow-Up Checklist" sheetId="1" r:id="rId1"/>
    <sheet name="Account Note Template" sheetId="2" r:id="rId2"/>
    <sheet name="Prioritization Matrix" sheetId="3" r:id="rId3"/>
    <sheet name="Read 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Revenue Cycle Knowledge Bank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Enter Yes, No, or N/A. The summary counts Yes as completed.</t>
        </r>
      </text>
    </comment>
  </commentList>
</comments>
</file>

<file path=xl/sharedStrings.xml><?xml version="1.0" encoding="utf-8"?>
<sst xmlns="http://schemas.openxmlformats.org/spreadsheetml/2006/main" count="311" uniqueCount="216">
  <si>
    <t>Step</t>
  </si>
  <si>
    <t>Workflow stage</t>
  </si>
  <si>
    <t>Checklist item</t>
  </si>
  <si>
    <t>What to review</t>
  </si>
  <si>
    <t>Expected action or output</t>
  </si>
  <si>
    <t>Critical?</t>
  </si>
  <si>
    <t>Completed</t>
  </si>
  <si>
    <t>Analyst notes</t>
  </si>
  <si>
    <t>Reference source</t>
  </si>
  <si>
    <t>Completion Summary</t>
  </si>
  <si>
    <t>Account validation</t>
  </si>
  <si>
    <t>Confirm patient and account identifiers</t>
  </si>
  <si>
    <t>Patient name, account number, claim number, DOS and payer</t>
  </si>
  <si>
    <t>Confirm that the correct account and claim are being worked</t>
  </si>
  <si>
    <t>Yes</t>
  </si>
  <si>
    <t>https://www.cms.gov/medicare/coding-billing/electronic-billing/health-care-payment-remittance-advice</t>
  </si>
  <si>
    <t>Items completed</t>
  </si>
  <si>
    <t>Confirm outstanding balance</t>
  </si>
  <si>
    <t>Charge, payment, adjustment, transfer and current balance</t>
  </si>
  <si>
    <t>Reconcile the balance before taking follow-up action</t>
  </si>
  <si>
    <t>Total items</t>
  </si>
  <si>
    <t>Review complete account history</t>
  </si>
  <si>
    <t>Prior notes, previous calls, portal checks, correspondence and follow-up dates</t>
  </si>
  <si>
    <t>Avoid duplicate work and identify unresolved commitments</t>
  </si>
  <si>
    <t>Completion %</t>
  </si>
  <si>
    <t>Claim submission</t>
  </si>
  <si>
    <t>Confirm claim was submitted</t>
  </si>
  <si>
    <t>Submission date, payer ID, billing format and clearinghouse batch</t>
  </si>
  <si>
    <t>Locate submission evidence or submit the claim correctly</t>
  </si>
  <si>
    <t>Confirm claim acceptance</t>
  </si>
  <si>
    <t>999/277CA, clearinghouse acceptance and payer acknowledgement</t>
  </si>
  <si>
    <t>Separate a rejection from a payer adjudication denial</t>
  </si>
  <si>
    <t>Use Yes, No, or N/A in Completed.</t>
  </si>
  <si>
    <t>Check for rejection or front-end edit</t>
  </si>
  <si>
    <t>Rejection code, edit text, invalid data and correction owner</t>
  </si>
  <si>
    <t>Correct the defect and resubmit promptly</t>
  </si>
  <si>
    <t>Claim status</t>
  </si>
  <si>
    <t>Check current payer status</t>
  </si>
  <si>
    <t>Payer portal, electronic claim status, IVR or representative</t>
  </si>
  <si>
    <t>Document paid, pending, denied, rejected, suspended or not on file</t>
  </si>
  <si>
    <t>Capture payer reference details</t>
  </si>
  <si>
    <t>Call reference, portal confirmation, representative name and date/time</t>
  </si>
  <si>
    <t>Create auditable proof of the status obtained</t>
  </si>
  <si>
    <t>Confirm processing timeframe</t>
  </si>
  <si>
    <t>Payer processing standard, received date and next action date</t>
  </si>
  <si>
    <t>Avoid premature calls and escalate overdue claims</t>
  </si>
  <si>
    <t>No</t>
  </si>
  <si>
    <t>Remittance review</t>
  </si>
  <si>
    <t>Review ERA, EOB or paper remit</t>
  </si>
  <si>
    <t>Payment, allowed amount, adjustments, denial codes and remarks</t>
  </si>
  <si>
    <t>Understand how each claim line was adjudicated</t>
  </si>
  <si>
    <t>Read group code, CARC and RARC together</t>
  </si>
  <si>
    <t>CO, PR, OA or PI group; CARC; associated RARC</t>
  </si>
  <si>
    <t>Identify financial responsibility and the specific adjustment reason</t>
  </si>
  <si>
    <t>Review claim-line adjudication</t>
  </si>
  <si>
    <t>CPT/HCPCS, units, modifiers, allowed amount and line status</t>
  </si>
  <si>
    <t>Identify which line requires correction, appeal or adjustment</t>
  </si>
  <si>
    <t>Eligibility and COB</t>
  </si>
  <si>
    <t>Verify coverage for date of service</t>
  </si>
  <si>
    <t>Effective and termination dates, plan, member ID and product</t>
  </si>
  <si>
    <t>Correct coverage information or identify the responsible payer</t>
  </si>
  <si>
    <t>Validate payer order</t>
  </si>
  <si>
    <t>Primary, secondary and tertiary coverage; MSP/COB information</t>
  </si>
  <si>
    <t>Bill payers in the correct order with prior-payer information</t>
  </si>
  <si>
    <t>Check patient and subscriber demographics</t>
  </si>
  <si>
    <t>Name, DOB, relationship, member ID and group number</t>
  </si>
  <si>
    <t>Correct registration data when supported</t>
  </si>
  <si>
    <t>Authorization</t>
  </si>
  <si>
    <t>Verify authorization or referral</t>
  </si>
  <si>
    <t>Authorization number, CPT, units, DOS, provider and facility</t>
  </si>
  <si>
    <t>Correct valid details, seek retro review or prepare appeal if allowed</t>
  </si>
  <si>
    <t>Coding</t>
  </si>
  <si>
    <t>Review diagnosis and procedure coding</t>
  </si>
  <si>
    <t>ICD-10-CM, CPT/HCPCS, revenue code, modifiers and code validity for DOS</t>
  </si>
  <si>
    <t>Route for coding validation; do not alter codes without support</t>
  </si>
  <si>
    <t>Check bundling, global and frequency edits</t>
  </si>
  <si>
    <t>Related claims, NCCI/payer edits, global period, units and repeat services</t>
  </si>
  <si>
    <t>Determine whether correction, modifier-supported appeal or adjustment is appropriate</t>
  </si>
  <si>
    <t>Documentation</t>
  </si>
  <si>
    <t>Confirm supporting records are available</t>
  </si>
  <si>
    <t>Order, clinical note, operative report, test result and requested attachment</t>
  </si>
  <si>
    <t>Submit complete records through an approved secure channel</t>
  </si>
  <si>
    <t>Medical necessity</t>
  </si>
  <si>
    <t>Review applicable coverage policy</t>
  </si>
  <si>
    <t>Payer medical policy, LCD/NCD where applicable and clinical criteria</t>
  </si>
  <si>
    <t>Build policy-specific appeal or route for clinical review</t>
  </si>
  <si>
    <t>Timely filing</t>
  </si>
  <si>
    <t>Verify filing deadline</t>
  </si>
  <si>
    <t>Payer policy, provider contract, initial filing and appeal limits</t>
  </si>
  <si>
    <t>Calculate remaining time and prioritize action</t>
  </si>
  <si>
    <t>Locate proof of timely filing</t>
  </si>
  <si>
    <t>Clearinghouse acceptance, payer acknowledgement, certified mail or portal receipt</t>
  </si>
  <si>
    <t>Attach valid proof to reconsideration or appeal</t>
  </si>
  <si>
    <t>Payment review</t>
  </si>
  <si>
    <t>Check whether payment posted correctly</t>
  </si>
  <si>
    <t>ERA/EFT/check, deposit, posting batch and claim allocation</t>
  </si>
  <si>
    <t>Post or correct unapplied/misapplied payment</t>
  </si>
  <si>
    <t>Validate contractual adjustment</t>
  </si>
  <si>
    <t>Allowed amount, contract terms, fee schedule and adjustment code</t>
  </si>
  <si>
    <t>Post valid contractual amount or identify underpayment</t>
  </si>
  <si>
    <t>Underpayment</t>
  </si>
  <si>
    <t>Compare expected versus actual reimbursement</t>
  </si>
  <si>
    <t>Contract rate, payment policy, modifier/POS impact and prior payer payment</t>
  </si>
  <si>
    <t>Quantify variance and initiate dispute when supported</t>
  </si>
  <si>
    <t>Patient responsibility</t>
  </si>
  <si>
    <t>Validate patient liability before transfer</t>
  </si>
  <si>
    <t>PR group code, benefits, deductible, copay, coinsurance, notices and secondary coverage</t>
  </si>
  <si>
    <t>Transfer only valid patient responsibility under policy and law</t>
  </si>
  <si>
    <t>Denial action</t>
  </si>
  <si>
    <t>Identify root cause and ownership</t>
  </si>
  <si>
    <t>Registration, authorization, coding, documentation, payer or posting issue</t>
  </si>
  <si>
    <t>Assign corrective and preventive ownership</t>
  </si>
  <si>
    <t>Choose the correct action type</t>
  </si>
  <si>
    <t>Corrected claim, reopening, reconsideration, appeal, records submission or adjustment</t>
  </si>
  <si>
    <t>Use the payer-approved route rather than rebilling blindly</t>
  </si>
  <si>
    <t>Prepare complete submission</t>
  </si>
  <si>
    <t>Claim identifiers, reason, evidence, records, form and submission address/portal</t>
  </si>
  <si>
    <t>Submit a complete package and retain confirmation</t>
  </si>
  <si>
    <t>Escalation</t>
  </si>
  <si>
    <t>Escalate high-dollar or high-risk accounts</t>
  </si>
  <si>
    <t>Balance threshold, filing risk, repeated payer failure, compliance or patient impact</t>
  </si>
  <si>
    <t>Notify the appropriate lead, manager, coding, clinical or contracting owner</t>
  </si>
  <si>
    <t>Escalate unresolved payer commitments</t>
  </si>
  <si>
    <t>Missed callback, delayed reprocessing, repeated incorrect denial or systemic issue</t>
  </si>
  <si>
    <t>Use payer escalation path and document the chronology</t>
  </si>
  <si>
    <t>Write a complete account note</t>
  </si>
  <si>
    <t>Date, channel, status, findings, reference, action, owner and next follow-up</t>
  </si>
  <si>
    <t>Create a concise note another analyst can continue</t>
  </si>
  <si>
    <t>Record documents sent or received</t>
  </si>
  <si>
    <t>Document type, page count, secure channel, date and confirmation number</t>
  </si>
  <si>
    <t>Maintain traceability without placing sensitive data in unsafe locations</t>
  </si>
  <si>
    <t>Follow-up control</t>
  </si>
  <si>
    <t>Set the next follow-up date</t>
  </si>
  <si>
    <t>Payer turnaround time, deadline, promised date and internal SLA</t>
  </si>
  <si>
    <t>Schedule a meaningful next action before the deadline</t>
  </si>
  <si>
    <t>Confirm disposition and queue routing</t>
  </si>
  <si>
    <t>Pending, corrected, appealed, paid, adjusted, patient, closed or escalated</t>
  </si>
  <si>
    <t>Route the account to the correct work queue/status</t>
  </si>
  <si>
    <t>Closure</t>
  </si>
  <si>
    <t>Verify final resolution</t>
  </si>
  <si>
    <t>Zero/valid remaining balance, full posting, appeal outcome and secondary billing</t>
  </si>
  <si>
    <t>Close only after all financial and workflow actions are complete</t>
  </si>
  <si>
    <t>Prevention</t>
  </si>
  <si>
    <t>Capture recurring root cause</t>
  </si>
  <si>
    <t>Denial trend, payer behavior, upstream defect and training opportunity</t>
  </si>
  <si>
    <t>Feed findings into denial prevention and process improvement</t>
  </si>
  <si>
    <t>Quality check</t>
  </si>
  <si>
    <t>Perform final compliance check</t>
  </si>
  <si>
    <t>Documentation support, patient billing rules, authorization, coding and privacy</t>
  </si>
  <si>
    <t>Ensure the action is supported, compliant and reproducible</t>
  </si>
  <si>
    <t>Field</t>
  </si>
  <si>
    <t>Entry guidance</t>
  </si>
  <si>
    <t>Your entry</t>
  </si>
  <si>
    <t>Date and time</t>
  </si>
  <si>
    <t>Record the date and time of the follow-up.</t>
  </si>
  <si>
    <t>Account / claim ID</t>
  </si>
  <si>
    <t>Use the approved internal identifier.</t>
  </si>
  <si>
    <t>Payer and plan</t>
  </si>
  <si>
    <t>Identify payer and product.</t>
  </si>
  <si>
    <t>Channel</t>
  </si>
  <si>
    <t>Portal, phone, IVR, EDI, fax, mail, or secure message.</t>
  </si>
  <si>
    <t>Paid, pending, denied, rejected, not on file, suspended, or other.</t>
  </si>
  <si>
    <t>Findings</t>
  </si>
  <si>
    <t>Summarize what was verified and the exact issue.</t>
  </si>
  <si>
    <t>Codes / remarks</t>
  </si>
  <si>
    <t>Record relevant group code, CARC, RARC, rejection, or payer message.</t>
  </si>
  <si>
    <t>Action taken</t>
  </si>
  <si>
    <t>Corrected claim, appeal, records, escalation, posting, adjustment, etc.</t>
  </si>
  <si>
    <t>Reference details</t>
  </si>
  <si>
    <t>Confirmation or call reference and representative, if applicable.</t>
  </si>
  <si>
    <t>Owner / dependency</t>
  </si>
  <si>
    <t>Identify the team or person responsible for the next dependency.</t>
  </si>
  <si>
    <t>Next follow-up date</t>
  </si>
  <si>
    <t>Base this on the payer turnaround time and deadlines.</t>
  </si>
  <si>
    <t>Expected outcome</t>
  </si>
  <si>
    <t>State what should happen next.</t>
  </si>
  <si>
    <t>Priority driver</t>
  </si>
  <si>
    <t>High priority indicator</t>
  </si>
  <si>
    <t>Recommended handling</t>
  </si>
  <si>
    <t>Filing or appeal deadline</t>
  </si>
  <si>
    <t>Deadline is near or proof needs immediate submission</t>
  </si>
  <si>
    <t>Work first and escalate if required</t>
  </si>
  <si>
    <t>High-dollar exposure</t>
  </si>
  <si>
    <t>Balance meets organization-defined threshold</t>
  </si>
  <si>
    <t>Senior review or high-dollar workflow</t>
  </si>
  <si>
    <t>Aged account</t>
  </si>
  <si>
    <t>Account is in advanced aging or approaching write-off risk</t>
  </si>
  <si>
    <t>Perform full root-cause review</t>
  </si>
  <si>
    <t>Payer commitment</t>
  </si>
  <si>
    <t>Promised reprocessing or callback date has passed</t>
  </si>
  <si>
    <t>Escalate with prior reference details</t>
  </si>
  <si>
    <t>Systemic denial</t>
  </si>
  <si>
    <t>Same issue affects multiple claims or providers</t>
  </si>
  <si>
    <t>Trend, quantify and escalate for root-cause correction</t>
  </si>
  <si>
    <t>Patient impact</t>
  </si>
  <si>
    <t>Incorrect liability, collection risk or access concern</t>
  </si>
  <si>
    <t>Place appropriate hold and resolve promptly</t>
  </si>
  <si>
    <t>Compliance risk</t>
  </si>
  <si>
    <t>Coding, authorization, privacy or billing concern</t>
  </si>
  <si>
    <t>Stop and route to authorized compliance/clinical/coding owner</t>
  </si>
  <si>
    <t>AR Follow-Up Checklist</t>
  </si>
  <si>
    <t>Purpose</t>
  </si>
  <si>
    <t>A practical checklist for reviewing unpaid, underpaid, denied, rejected, pending, and incorrectly posted healthcare claims.</t>
  </si>
  <si>
    <t>How to use</t>
  </si>
  <si>
    <t>Filter by workflow stage, complete applicable items, document the evidence reviewed, select the correct action route, and set a next follow-up date. Organization and payer procedures override this generic guide.</t>
  </si>
  <si>
    <t>Important caution</t>
  </si>
  <si>
    <t>A remittance adjustment is not always a denial. Review the group code, CARC, RARC, claim line, payer policy, contract, clinical record, and claim history together. Do not bill a patient, change coding, or alter documentation unless the action is supported and permitted.</t>
  </si>
  <si>
    <t>Official reference</t>
  </si>
  <si>
    <t>Additional reference</t>
  </si>
  <si>
    <t>https://x12.org/codes/claim-adjustment-reason-codes</t>
  </si>
  <si>
    <t>https://x12.org/codes/remittance-advice-remark-codes</t>
  </si>
  <si>
    <t>Version</t>
  </si>
  <si>
    <t>Prepared October 5, 2026</t>
  </si>
  <si>
    <t>Educational disclaimer</t>
  </si>
  <si>
    <t>For education and workflow support only. This is not legal, coding, clinical, contractual, or payer-specific advice.</t>
  </si>
  <si>
    <t>Revenue Cycle Knowledge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</si>
</sst>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rgb="FF666666"/>
      <name val="Calibri"/>
    </font>
    <font>
      <b/>
      <sz val="11"/>
      <color rgb="FF0F6B78"/>
      <name val="Calibri"/>
    </font>
    <font>
      <sz val="9"/>
      <color rgb="FF008000"/>
      <name val="Calibri"/>
    </font>
    <font>
      <b/>
      <sz val="16"/>
      <color rgb="FFFFFFFF"/>
      <name val="Calibri"/>
    </font>
    <font>
      <b/>
      <sz val="13"/>
      <color rgb="FFFFFFFF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0F6B78"/>
      </patternFill>
    </fill>
    <fill>
      <patternFill patternType="solid">
        <fgColor rgb="FF2F75B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6" borderId="0" xfId="0" applyFont="1" applyFill="1"/>
    <xf numFmtId="9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7" fillId="7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Checklist" displayName="ARChecklist" ref="A1:I39" headerRowDxfId="17" dataDxfId="29" totalsRowDxfId="16" headerRowBorderDxfId="27" tableBorderDxfId="28">
  <autoFilter ref="A1:I39" xr:uid="{00000000-0009-0000-0100-000001000000}"/>
  <tableColumns count="9">
    <tableColumn id="1" xr3:uid="{00000000-0010-0000-0000-000001000000}" name="Step" dataDxfId="26"/>
    <tableColumn id="2" xr3:uid="{00000000-0010-0000-0000-000002000000}" name="Workflow stage" dataDxfId="25"/>
    <tableColumn id="3" xr3:uid="{00000000-0010-0000-0000-000003000000}" name="Checklist item" dataDxfId="24"/>
    <tableColumn id="4" xr3:uid="{00000000-0010-0000-0000-000004000000}" name="What to review" dataDxfId="23"/>
    <tableColumn id="5" xr3:uid="{00000000-0010-0000-0000-000005000000}" name="Expected action or output" dataDxfId="22"/>
    <tableColumn id="6" xr3:uid="{00000000-0010-0000-0000-000006000000}" name="Critical?" dataDxfId="21"/>
    <tableColumn id="7" xr3:uid="{00000000-0010-0000-0000-000007000000}" name="Completed" dataDxfId="20"/>
    <tableColumn id="8" xr3:uid="{00000000-0010-0000-0000-000008000000}" name="Analyst notes" dataDxfId="19"/>
    <tableColumn id="9" xr3:uid="{00000000-0010-0000-0000-000009000000}" name="Reference source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Template" displayName="NoteTemplate" ref="A1:C13" headerRowDxfId="10" dataDxfId="8" totalsRowDxfId="9" headerRowBorderDxfId="14" tableBorderDxfId="15">
  <autoFilter ref="A1:C13" xr:uid="{00000000-0009-0000-0100-000002000000}"/>
  <tableColumns count="3">
    <tableColumn id="1" xr3:uid="{00000000-0010-0000-0100-000001000000}" name="Field" dataDxfId="13"/>
    <tableColumn id="2" xr3:uid="{00000000-0010-0000-0100-000002000000}" name="Entry guidance" dataDxfId="12"/>
    <tableColumn id="3" xr3:uid="{00000000-0010-0000-0100-000003000000}" name="Your entry" dataDxfId="11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orityMatrix" displayName="PriorityMatrix" ref="A1:C8" headerRowDxfId="2" dataDxfId="0" totalsRowDxfId="1" headerRowBorderDxfId="6" tableBorderDxfId="7">
  <autoFilter ref="A1:C8" xr:uid="{00000000-0009-0000-0100-000003000000}"/>
  <tableColumns count="3">
    <tableColumn id="1" xr3:uid="{00000000-0010-0000-0200-000001000000}" name="Priority driver" dataDxfId="5"/>
    <tableColumn id="2" xr3:uid="{00000000-0010-0000-0200-000002000000}" name="High priority indicator" dataDxfId="4"/>
    <tableColumn id="3" xr3:uid="{00000000-0010-0000-0200-000003000000}" name="Recommended handling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22" customWidth="1"/>
    <col min="3" max="3" width="37" customWidth="1"/>
    <col min="4" max="4" width="48" customWidth="1"/>
    <col min="5" max="5" width="50" customWidth="1"/>
    <col min="6" max="6" width="11" customWidth="1"/>
    <col min="7" max="7" width="14" customWidth="1"/>
    <col min="8" max="8" width="40" customWidth="1"/>
    <col min="9" max="9" width="45" customWidth="1"/>
    <col min="11" max="11" width="25" hidden="1" customWidth="1"/>
    <col min="12" max="12" width="16" hidden="1" customWidth="1"/>
  </cols>
  <sheetData>
    <row r="1" spans="1:12" x14ac:dyDescent="0.35">
      <c r="A1" s="38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K1" s="1" t="s">
        <v>9</v>
      </c>
    </row>
    <row r="2" spans="1:12" ht="39" x14ac:dyDescent="0.35">
      <c r="A2" s="8">
        <v>1</v>
      </c>
      <c r="B2" s="9" t="s">
        <v>10</v>
      </c>
      <c r="C2" s="10" t="s">
        <v>11</v>
      </c>
      <c r="D2" s="10" t="s">
        <v>12</v>
      </c>
      <c r="E2" s="10" t="s">
        <v>13</v>
      </c>
      <c r="F2" s="11" t="s">
        <v>14</v>
      </c>
      <c r="G2" s="12"/>
      <c r="H2" s="10" t="s">
        <v>15</v>
      </c>
      <c r="I2" s="13"/>
      <c r="K2" t="s">
        <v>16</v>
      </c>
      <c r="L2">
        <f>COUNTIF(G2:G39,"Yes")</f>
        <v>0</v>
      </c>
    </row>
    <row r="3" spans="1:12" ht="39" x14ac:dyDescent="0.35">
      <c r="A3" s="8">
        <v>2</v>
      </c>
      <c r="B3" s="9" t="s">
        <v>10</v>
      </c>
      <c r="C3" s="10" t="s">
        <v>17</v>
      </c>
      <c r="D3" s="10" t="s">
        <v>18</v>
      </c>
      <c r="E3" s="10" t="s">
        <v>19</v>
      </c>
      <c r="F3" s="11" t="s">
        <v>14</v>
      </c>
      <c r="G3" s="12"/>
      <c r="H3" s="10" t="s">
        <v>15</v>
      </c>
      <c r="I3" s="13"/>
      <c r="K3" t="s">
        <v>20</v>
      </c>
      <c r="L3">
        <f>COUNTA(C2:C39)</f>
        <v>38</v>
      </c>
    </row>
    <row r="4" spans="1:12" ht="39" x14ac:dyDescent="0.35">
      <c r="A4" s="8">
        <v>3</v>
      </c>
      <c r="B4" s="9" t="s">
        <v>10</v>
      </c>
      <c r="C4" s="10" t="s">
        <v>21</v>
      </c>
      <c r="D4" s="10" t="s">
        <v>22</v>
      </c>
      <c r="E4" s="10" t="s">
        <v>23</v>
      </c>
      <c r="F4" s="11" t="s">
        <v>14</v>
      </c>
      <c r="G4" s="12"/>
      <c r="H4" s="10" t="s">
        <v>15</v>
      </c>
      <c r="I4" s="13"/>
      <c r="K4" t="s">
        <v>24</v>
      </c>
      <c r="L4" s="2">
        <f>IFERROR(L2/L3,0)</f>
        <v>0</v>
      </c>
    </row>
    <row r="5" spans="1:12" ht="39" x14ac:dyDescent="0.35">
      <c r="A5" s="8">
        <v>4</v>
      </c>
      <c r="B5" s="9" t="s">
        <v>25</v>
      </c>
      <c r="C5" s="10" t="s">
        <v>26</v>
      </c>
      <c r="D5" s="10" t="s">
        <v>27</v>
      </c>
      <c r="E5" s="10" t="s">
        <v>28</v>
      </c>
      <c r="F5" s="11" t="s">
        <v>14</v>
      </c>
      <c r="G5" s="12"/>
      <c r="H5" s="10" t="s">
        <v>15</v>
      </c>
      <c r="I5" s="13"/>
    </row>
    <row r="6" spans="1:12" ht="39" x14ac:dyDescent="0.35">
      <c r="A6" s="8">
        <v>5</v>
      </c>
      <c r="B6" s="9" t="s">
        <v>25</v>
      </c>
      <c r="C6" s="10" t="s">
        <v>29</v>
      </c>
      <c r="D6" s="10" t="s">
        <v>30</v>
      </c>
      <c r="E6" s="10" t="s">
        <v>31</v>
      </c>
      <c r="F6" s="11" t="s">
        <v>14</v>
      </c>
      <c r="G6" s="12"/>
      <c r="H6" s="10" t="s">
        <v>15</v>
      </c>
      <c r="I6" s="13"/>
      <c r="K6" s="3" t="s">
        <v>32</v>
      </c>
    </row>
    <row r="7" spans="1:12" ht="39" x14ac:dyDescent="0.35">
      <c r="A7" s="8">
        <v>6</v>
      </c>
      <c r="B7" s="9" t="s">
        <v>25</v>
      </c>
      <c r="C7" s="10" t="s">
        <v>33</v>
      </c>
      <c r="D7" s="10" t="s">
        <v>34</v>
      </c>
      <c r="E7" s="10" t="s">
        <v>35</v>
      </c>
      <c r="F7" s="11" t="s">
        <v>14</v>
      </c>
      <c r="G7" s="12"/>
      <c r="H7" s="10" t="s">
        <v>15</v>
      </c>
      <c r="I7" s="13"/>
    </row>
    <row r="8" spans="1:12" ht="39" x14ac:dyDescent="0.35">
      <c r="A8" s="8">
        <v>7</v>
      </c>
      <c r="B8" s="9" t="s">
        <v>36</v>
      </c>
      <c r="C8" s="10" t="s">
        <v>37</v>
      </c>
      <c r="D8" s="10" t="s">
        <v>38</v>
      </c>
      <c r="E8" s="10" t="s">
        <v>39</v>
      </c>
      <c r="F8" s="11" t="s">
        <v>14</v>
      </c>
      <c r="G8" s="12"/>
      <c r="H8" s="10" t="s">
        <v>15</v>
      </c>
      <c r="I8" s="13"/>
    </row>
    <row r="9" spans="1:12" ht="39" x14ac:dyDescent="0.35">
      <c r="A9" s="8">
        <v>8</v>
      </c>
      <c r="B9" s="9" t="s">
        <v>36</v>
      </c>
      <c r="C9" s="10" t="s">
        <v>40</v>
      </c>
      <c r="D9" s="10" t="s">
        <v>41</v>
      </c>
      <c r="E9" s="10" t="s">
        <v>42</v>
      </c>
      <c r="F9" s="11" t="s">
        <v>14</v>
      </c>
      <c r="G9" s="12"/>
      <c r="H9" s="10" t="s">
        <v>15</v>
      </c>
      <c r="I9" s="13"/>
    </row>
    <row r="10" spans="1:12" ht="39" x14ac:dyDescent="0.35">
      <c r="A10" s="8">
        <v>9</v>
      </c>
      <c r="B10" s="9" t="s">
        <v>36</v>
      </c>
      <c r="C10" s="10" t="s">
        <v>43</v>
      </c>
      <c r="D10" s="10" t="s">
        <v>44</v>
      </c>
      <c r="E10" s="10" t="s">
        <v>45</v>
      </c>
      <c r="F10" s="14" t="s">
        <v>46</v>
      </c>
      <c r="G10" s="12"/>
      <c r="H10" s="10" t="s">
        <v>15</v>
      </c>
      <c r="I10" s="13"/>
    </row>
    <row r="11" spans="1:12" ht="39" x14ac:dyDescent="0.35">
      <c r="A11" s="8">
        <v>10</v>
      </c>
      <c r="B11" s="9" t="s">
        <v>47</v>
      </c>
      <c r="C11" s="10" t="s">
        <v>48</v>
      </c>
      <c r="D11" s="10" t="s">
        <v>49</v>
      </c>
      <c r="E11" s="10" t="s">
        <v>50</v>
      </c>
      <c r="F11" s="11" t="s">
        <v>14</v>
      </c>
      <c r="G11" s="12"/>
      <c r="H11" s="10" t="s">
        <v>15</v>
      </c>
      <c r="I11" s="13"/>
    </row>
    <row r="12" spans="1:12" ht="39" x14ac:dyDescent="0.35">
      <c r="A12" s="8">
        <v>11</v>
      </c>
      <c r="B12" s="9" t="s">
        <v>47</v>
      </c>
      <c r="C12" s="10" t="s">
        <v>51</v>
      </c>
      <c r="D12" s="10" t="s">
        <v>52</v>
      </c>
      <c r="E12" s="10" t="s">
        <v>53</v>
      </c>
      <c r="F12" s="11" t="s">
        <v>14</v>
      </c>
      <c r="G12" s="12"/>
      <c r="H12" s="10" t="s">
        <v>15</v>
      </c>
      <c r="I12" s="13"/>
    </row>
    <row r="13" spans="1:12" ht="39" x14ac:dyDescent="0.35">
      <c r="A13" s="8">
        <v>12</v>
      </c>
      <c r="B13" s="9" t="s">
        <v>47</v>
      </c>
      <c r="C13" s="10" t="s">
        <v>54</v>
      </c>
      <c r="D13" s="10" t="s">
        <v>55</v>
      </c>
      <c r="E13" s="10" t="s">
        <v>56</v>
      </c>
      <c r="F13" s="11" t="s">
        <v>14</v>
      </c>
      <c r="G13" s="12"/>
      <c r="H13" s="10" t="s">
        <v>15</v>
      </c>
      <c r="I13" s="13"/>
    </row>
    <row r="14" spans="1:12" ht="39" x14ac:dyDescent="0.35">
      <c r="A14" s="8">
        <v>13</v>
      </c>
      <c r="B14" s="9" t="s">
        <v>57</v>
      </c>
      <c r="C14" s="10" t="s">
        <v>58</v>
      </c>
      <c r="D14" s="10" t="s">
        <v>59</v>
      </c>
      <c r="E14" s="10" t="s">
        <v>60</v>
      </c>
      <c r="F14" s="11" t="s">
        <v>14</v>
      </c>
      <c r="G14" s="12"/>
      <c r="H14" s="10" t="s">
        <v>15</v>
      </c>
      <c r="I14" s="13"/>
    </row>
    <row r="15" spans="1:12" ht="39" x14ac:dyDescent="0.35">
      <c r="A15" s="8">
        <v>14</v>
      </c>
      <c r="B15" s="9" t="s">
        <v>57</v>
      </c>
      <c r="C15" s="10" t="s">
        <v>61</v>
      </c>
      <c r="D15" s="10" t="s">
        <v>62</v>
      </c>
      <c r="E15" s="10" t="s">
        <v>63</v>
      </c>
      <c r="F15" s="11" t="s">
        <v>14</v>
      </c>
      <c r="G15" s="12"/>
      <c r="H15" s="10" t="s">
        <v>15</v>
      </c>
      <c r="I15" s="13"/>
    </row>
    <row r="16" spans="1:12" ht="39" x14ac:dyDescent="0.35">
      <c r="A16" s="8">
        <v>15</v>
      </c>
      <c r="B16" s="9" t="s">
        <v>57</v>
      </c>
      <c r="C16" s="10" t="s">
        <v>64</v>
      </c>
      <c r="D16" s="10" t="s">
        <v>65</v>
      </c>
      <c r="E16" s="10" t="s">
        <v>66</v>
      </c>
      <c r="F16" s="14" t="s">
        <v>46</v>
      </c>
      <c r="G16" s="12"/>
      <c r="H16" s="10" t="s">
        <v>15</v>
      </c>
      <c r="I16" s="13"/>
    </row>
    <row r="17" spans="1:9" ht="39" x14ac:dyDescent="0.35">
      <c r="A17" s="8">
        <v>16</v>
      </c>
      <c r="B17" s="9" t="s">
        <v>67</v>
      </c>
      <c r="C17" s="10" t="s">
        <v>68</v>
      </c>
      <c r="D17" s="10" t="s">
        <v>69</v>
      </c>
      <c r="E17" s="10" t="s">
        <v>70</v>
      </c>
      <c r="F17" s="11" t="s">
        <v>14</v>
      </c>
      <c r="G17" s="12"/>
      <c r="H17" s="10" t="s">
        <v>15</v>
      </c>
      <c r="I17" s="13"/>
    </row>
    <row r="18" spans="1:9" ht="39" x14ac:dyDescent="0.35">
      <c r="A18" s="8">
        <v>17</v>
      </c>
      <c r="B18" s="9" t="s">
        <v>71</v>
      </c>
      <c r="C18" s="10" t="s">
        <v>72</v>
      </c>
      <c r="D18" s="10" t="s">
        <v>73</v>
      </c>
      <c r="E18" s="10" t="s">
        <v>74</v>
      </c>
      <c r="F18" s="11" t="s">
        <v>14</v>
      </c>
      <c r="G18" s="12"/>
      <c r="H18" s="10" t="s">
        <v>15</v>
      </c>
      <c r="I18" s="13"/>
    </row>
    <row r="19" spans="1:9" ht="39" x14ac:dyDescent="0.35">
      <c r="A19" s="8">
        <v>18</v>
      </c>
      <c r="B19" s="9" t="s">
        <v>71</v>
      </c>
      <c r="C19" s="10" t="s">
        <v>75</v>
      </c>
      <c r="D19" s="10" t="s">
        <v>76</v>
      </c>
      <c r="E19" s="10" t="s">
        <v>77</v>
      </c>
      <c r="F19" s="14" t="s">
        <v>46</v>
      </c>
      <c r="G19" s="12"/>
      <c r="H19" s="10" t="s">
        <v>15</v>
      </c>
      <c r="I19" s="13"/>
    </row>
    <row r="20" spans="1:9" ht="39" x14ac:dyDescent="0.35">
      <c r="A20" s="8">
        <v>19</v>
      </c>
      <c r="B20" s="9" t="s">
        <v>78</v>
      </c>
      <c r="C20" s="10" t="s">
        <v>79</v>
      </c>
      <c r="D20" s="10" t="s">
        <v>80</v>
      </c>
      <c r="E20" s="10" t="s">
        <v>81</v>
      </c>
      <c r="F20" s="11" t="s">
        <v>14</v>
      </c>
      <c r="G20" s="12"/>
      <c r="H20" s="10" t="s">
        <v>15</v>
      </c>
      <c r="I20" s="13"/>
    </row>
    <row r="21" spans="1:9" ht="39" x14ac:dyDescent="0.35">
      <c r="A21" s="8">
        <v>20</v>
      </c>
      <c r="B21" s="9" t="s">
        <v>82</v>
      </c>
      <c r="C21" s="10" t="s">
        <v>83</v>
      </c>
      <c r="D21" s="10" t="s">
        <v>84</v>
      </c>
      <c r="E21" s="10" t="s">
        <v>85</v>
      </c>
      <c r="F21" s="11" t="s">
        <v>14</v>
      </c>
      <c r="G21" s="12"/>
      <c r="H21" s="10" t="s">
        <v>15</v>
      </c>
      <c r="I21" s="13"/>
    </row>
    <row r="22" spans="1:9" ht="39" x14ac:dyDescent="0.35">
      <c r="A22" s="8">
        <v>21</v>
      </c>
      <c r="B22" s="9" t="s">
        <v>86</v>
      </c>
      <c r="C22" s="10" t="s">
        <v>87</v>
      </c>
      <c r="D22" s="10" t="s">
        <v>88</v>
      </c>
      <c r="E22" s="10" t="s">
        <v>89</v>
      </c>
      <c r="F22" s="11" t="s">
        <v>14</v>
      </c>
      <c r="G22" s="12"/>
      <c r="H22" s="10" t="s">
        <v>15</v>
      </c>
      <c r="I22" s="13"/>
    </row>
    <row r="23" spans="1:9" ht="39" x14ac:dyDescent="0.35">
      <c r="A23" s="8">
        <v>22</v>
      </c>
      <c r="B23" s="9" t="s">
        <v>86</v>
      </c>
      <c r="C23" s="10" t="s">
        <v>90</v>
      </c>
      <c r="D23" s="10" t="s">
        <v>91</v>
      </c>
      <c r="E23" s="10" t="s">
        <v>92</v>
      </c>
      <c r="F23" s="11" t="s">
        <v>14</v>
      </c>
      <c r="G23" s="12"/>
      <c r="H23" s="10" t="s">
        <v>15</v>
      </c>
      <c r="I23" s="13"/>
    </row>
    <row r="24" spans="1:9" ht="39" x14ac:dyDescent="0.35">
      <c r="A24" s="8">
        <v>23</v>
      </c>
      <c r="B24" s="9" t="s">
        <v>93</v>
      </c>
      <c r="C24" s="10" t="s">
        <v>94</v>
      </c>
      <c r="D24" s="10" t="s">
        <v>95</v>
      </c>
      <c r="E24" s="10" t="s">
        <v>96</v>
      </c>
      <c r="F24" s="11" t="s">
        <v>14</v>
      </c>
      <c r="G24" s="12"/>
      <c r="H24" s="10" t="s">
        <v>15</v>
      </c>
      <c r="I24" s="13"/>
    </row>
    <row r="25" spans="1:9" ht="39" x14ac:dyDescent="0.35">
      <c r="A25" s="8">
        <v>24</v>
      </c>
      <c r="B25" s="9" t="s">
        <v>93</v>
      </c>
      <c r="C25" s="10" t="s">
        <v>97</v>
      </c>
      <c r="D25" s="10" t="s">
        <v>98</v>
      </c>
      <c r="E25" s="10" t="s">
        <v>99</v>
      </c>
      <c r="F25" s="11" t="s">
        <v>14</v>
      </c>
      <c r="G25" s="12"/>
      <c r="H25" s="10" t="s">
        <v>15</v>
      </c>
      <c r="I25" s="13"/>
    </row>
    <row r="26" spans="1:9" ht="39" x14ac:dyDescent="0.35">
      <c r="A26" s="8">
        <v>25</v>
      </c>
      <c r="B26" s="9" t="s">
        <v>100</v>
      </c>
      <c r="C26" s="10" t="s">
        <v>101</v>
      </c>
      <c r="D26" s="10" t="s">
        <v>102</v>
      </c>
      <c r="E26" s="10" t="s">
        <v>103</v>
      </c>
      <c r="F26" s="14" t="s">
        <v>46</v>
      </c>
      <c r="G26" s="12"/>
      <c r="H26" s="10" t="s">
        <v>15</v>
      </c>
      <c r="I26" s="13"/>
    </row>
    <row r="27" spans="1:9" ht="39" x14ac:dyDescent="0.35">
      <c r="A27" s="8">
        <v>26</v>
      </c>
      <c r="B27" s="9" t="s">
        <v>104</v>
      </c>
      <c r="C27" s="10" t="s">
        <v>105</v>
      </c>
      <c r="D27" s="10" t="s">
        <v>106</v>
      </c>
      <c r="E27" s="10" t="s">
        <v>107</v>
      </c>
      <c r="F27" s="11" t="s">
        <v>14</v>
      </c>
      <c r="G27" s="12"/>
      <c r="H27" s="10" t="s">
        <v>15</v>
      </c>
      <c r="I27" s="13"/>
    </row>
    <row r="28" spans="1:9" ht="39" x14ac:dyDescent="0.35">
      <c r="A28" s="8">
        <v>27</v>
      </c>
      <c r="B28" s="9" t="s">
        <v>108</v>
      </c>
      <c r="C28" s="10" t="s">
        <v>109</v>
      </c>
      <c r="D28" s="10" t="s">
        <v>110</v>
      </c>
      <c r="E28" s="10" t="s">
        <v>111</v>
      </c>
      <c r="F28" s="11" t="s">
        <v>14</v>
      </c>
      <c r="G28" s="12"/>
      <c r="H28" s="10" t="s">
        <v>15</v>
      </c>
      <c r="I28" s="13"/>
    </row>
    <row r="29" spans="1:9" ht="39" x14ac:dyDescent="0.35">
      <c r="A29" s="8">
        <v>28</v>
      </c>
      <c r="B29" s="9" t="s">
        <v>108</v>
      </c>
      <c r="C29" s="10" t="s">
        <v>112</v>
      </c>
      <c r="D29" s="10" t="s">
        <v>113</v>
      </c>
      <c r="E29" s="10" t="s">
        <v>114</v>
      </c>
      <c r="F29" s="11" t="s">
        <v>14</v>
      </c>
      <c r="G29" s="12"/>
      <c r="H29" s="10" t="s">
        <v>15</v>
      </c>
      <c r="I29" s="13"/>
    </row>
    <row r="30" spans="1:9" ht="39" x14ac:dyDescent="0.35">
      <c r="A30" s="8">
        <v>29</v>
      </c>
      <c r="B30" s="9" t="s">
        <v>108</v>
      </c>
      <c r="C30" s="10" t="s">
        <v>115</v>
      </c>
      <c r="D30" s="10" t="s">
        <v>116</v>
      </c>
      <c r="E30" s="10" t="s">
        <v>117</v>
      </c>
      <c r="F30" s="11" t="s">
        <v>14</v>
      </c>
      <c r="G30" s="12"/>
      <c r="H30" s="10" t="s">
        <v>15</v>
      </c>
      <c r="I30" s="13"/>
    </row>
    <row r="31" spans="1:9" ht="39" x14ac:dyDescent="0.35">
      <c r="A31" s="8">
        <v>30</v>
      </c>
      <c r="B31" s="9" t="s">
        <v>118</v>
      </c>
      <c r="C31" s="10" t="s">
        <v>119</v>
      </c>
      <c r="D31" s="10" t="s">
        <v>120</v>
      </c>
      <c r="E31" s="10" t="s">
        <v>121</v>
      </c>
      <c r="F31" s="14" t="s">
        <v>46</v>
      </c>
      <c r="G31" s="12"/>
      <c r="H31" s="10" t="s">
        <v>15</v>
      </c>
      <c r="I31" s="13"/>
    </row>
    <row r="32" spans="1:9" ht="39" x14ac:dyDescent="0.35">
      <c r="A32" s="8">
        <v>31</v>
      </c>
      <c r="B32" s="9" t="s">
        <v>118</v>
      </c>
      <c r="C32" s="10" t="s">
        <v>122</v>
      </c>
      <c r="D32" s="10" t="s">
        <v>123</v>
      </c>
      <c r="E32" s="10" t="s">
        <v>124</v>
      </c>
      <c r="F32" s="14" t="s">
        <v>46</v>
      </c>
      <c r="G32" s="12"/>
      <c r="H32" s="10" t="s">
        <v>15</v>
      </c>
      <c r="I32" s="13"/>
    </row>
    <row r="33" spans="1:9" ht="39" x14ac:dyDescent="0.35">
      <c r="A33" s="8">
        <v>32</v>
      </c>
      <c r="B33" s="9" t="s">
        <v>78</v>
      </c>
      <c r="C33" s="10" t="s">
        <v>125</v>
      </c>
      <c r="D33" s="10" t="s">
        <v>126</v>
      </c>
      <c r="E33" s="10" t="s">
        <v>127</v>
      </c>
      <c r="F33" s="11" t="s">
        <v>14</v>
      </c>
      <c r="G33" s="12"/>
      <c r="H33" s="10" t="s">
        <v>15</v>
      </c>
      <c r="I33" s="13"/>
    </row>
    <row r="34" spans="1:9" ht="39" x14ac:dyDescent="0.35">
      <c r="A34" s="8">
        <v>33</v>
      </c>
      <c r="B34" s="9" t="s">
        <v>78</v>
      </c>
      <c r="C34" s="10" t="s">
        <v>128</v>
      </c>
      <c r="D34" s="10" t="s">
        <v>129</v>
      </c>
      <c r="E34" s="10" t="s">
        <v>130</v>
      </c>
      <c r="F34" s="14" t="s">
        <v>46</v>
      </c>
      <c r="G34" s="12"/>
      <c r="H34" s="10" t="s">
        <v>15</v>
      </c>
      <c r="I34" s="13"/>
    </row>
    <row r="35" spans="1:9" ht="39" x14ac:dyDescent="0.35">
      <c r="A35" s="8">
        <v>34</v>
      </c>
      <c r="B35" s="9" t="s">
        <v>131</v>
      </c>
      <c r="C35" s="10" t="s">
        <v>132</v>
      </c>
      <c r="D35" s="10" t="s">
        <v>133</v>
      </c>
      <c r="E35" s="10" t="s">
        <v>134</v>
      </c>
      <c r="F35" s="11" t="s">
        <v>14</v>
      </c>
      <c r="G35" s="12"/>
      <c r="H35" s="10" t="s">
        <v>15</v>
      </c>
      <c r="I35" s="13"/>
    </row>
    <row r="36" spans="1:9" ht="39" x14ac:dyDescent="0.35">
      <c r="A36" s="8">
        <v>35</v>
      </c>
      <c r="B36" s="9" t="s">
        <v>131</v>
      </c>
      <c r="C36" s="10" t="s">
        <v>135</v>
      </c>
      <c r="D36" s="10" t="s">
        <v>136</v>
      </c>
      <c r="E36" s="10" t="s">
        <v>137</v>
      </c>
      <c r="F36" s="11" t="s">
        <v>14</v>
      </c>
      <c r="G36" s="12"/>
      <c r="H36" s="10" t="s">
        <v>15</v>
      </c>
      <c r="I36" s="13"/>
    </row>
    <row r="37" spans="1:9" ht="39" x14ac:dyDescent="0.35">
      <c r="A37" s="8">
        <v>36</v>
      </c>
      <c r="B37" s="9" t="s">
        <v>138</v>
      </c>
      <c r="C37" s="10" t="s">
        <v>139</v>
      </c>
      <c r="D37" s="10" t="s">
        <v>140</v>
      </c>
      <c r="E37" s="10" t="s">
        <v>141</v>
      </c>
      <c r="F37" s="11" t="s">
        <v>14</v>
      </c>
      <c r="G37" s="12"/>
      <c r="H37" s="10" t="s">
        <v>15</v>
      </c>
      <c r="I37" s="13"/>
    </row>
    <row r="38" spans="1:9" ht="39" x14ac:dyDescent="0.35">
      <c r="A38" s="8">
        <v>37</v>
      </c>
      <c r="B38" s="9" t="s">
        <v>142</v>
      </c>
      <c r="C38" s="10" t="s">
        <v>143</v>
      </c>
      <c r="D38" s="10" t="s">
        <v>144</v>
      </c>
      <c r="E38" s="10" t="s">
        <v>145</v>
      </c>
      <c r="F38" s="14" t="s">
        <v>46</v>
      </c>
      <c r="G38" s="12"/>
      <c r="H38" s="10" t="s">
        <v>15</v>
      </c>
      <c r="I38" s="13"/>
    </row>
    <row r="39" spans="1:9" ht="39" x14ac:dyDescent="0.35">
      <c r="A39" s="15">
        <v>38</v>
      </c>
      <c r="B39" s="16" t="s">
        <v>146</v>
      </c>
      <c r="C39" s="17" t="s">
        <v>147</v>
      </c>
      <c r="D39" s="17" t="s">
        <v>148</v>
      </c>
      <c r="E39" s="17" t="s">
        <v>149</v>
      </c>
      <c r="F39" s="18" t="s">
        <v>14</v>
      </c>
      <c r="G39" s="19"/>
      <c r="H39" s="17" t="s">
        <v>15</v>
      </c>
      <c r="I39" s="20"/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B25" sqref="B25"/>
    </sheetView>
  </sheetViews>
  <sheetFormatPr defaultRowHeight="14.5" x14ac:dyDescent="0.35"/>
  <cols>
    <col min="1" max="1" width="28" customWidth="1"/>
    <col min="2" max="2" width="60" customWidth="1"/>
    <col min="3" max="3" width="55" customWidth="1"/>
  </cols>
  <sheetData>
    <row r="1" spans="1:3" x14ac:dyDescent="0.35">
      <c r="A1" s="4" t="s">
        <v>150</v>
      </c>
      <c r="B1" s="5" t="s">
        <v>151</v>
      </c>
      <c r="C1" s="6" t="s">
        <v>152</v>
      </c>
    </row>
    <row r="2" spans="1:3" x14ac:dyDescent="0.35">
      <c r="A2" s="28" t="s">
        <v>153</v>
      </c>
      <c r="B2" s="29" t="s">
        <v>154</v>
      </c>
      <c r="C2" s="30"/>
    </row>
    <row r="3" spans="1:3" x14ac:dyDescent="0.35">
      <c r="A3" s="28" t="s">
        <v>155</v>
      </c>
      <c r="B3" s="29" t="s">
        <v>156</v>
      </c>
      <c r="C3" s="30"/>
    </row>
    <row r="4" spans="1:3" x14ac:dyDescent="0.35">
      <c r="A4" s="28" t="s">
        <v>157</v>
      </c>
      <c r="B4" s="29" t="s">
        <v>158</v>
      </c>
      <c r="C4" s="30"/>
    </row>
    <row r="5" spans="1:3" x14ac:dyDescent="0.35">
      <c r="A5" s="28" t="s">
        <v>159</v>
      </c>
      <c r="B5" s="29" t="s">
        <v>160</v>
      </c>
      <c r="C5" s="30"/>
    </row>
    <row r="6" spans="1:3" x14ac:dyDescent="0.35">
      <c r="A6" s="28" t="s">
        <v>36</v>
      </c>
      <c r="B6" s="29" t="s">
        <v>161</v>
      </c>
      <c r="C6" s="30"/>
    </row>
    <row r="7" spans="1:3" x14ac:dyDescent="0.35">
      <c r="A7" s="28" t="s">
        <v>162</v>
      </c>
      <c r="B7" s="29" t="s">
        <v>163</v>
      </c>
      <c r="C7" s="30"/>
    </row>
    <row r="8" spans="1:3" x14ac:dyDescent="0.35">
      <c r="A8" s="28" t="s">
        <v>164</v>
      </c>
      <c r="B8" s="29" t="s">
        <v>165</v>
      </c>
      <c r="C8" s="30"/>
    </row>
    <row r="9" spans="1:3" x14ac:dyDescent="0.35">
      <c r="A9" s="28" t="s">
        <v>166</v>
      </c>
      <c r="B9" s="29" t="s">
        <v>167</v>
      </c>
      <c r="C9" s="30"/>
    </row>
    <row r="10" spans="1:3" x14ac:dyDescent="0.35">
      <c r="A10" s="28" t="s">
        <v>168</v>
      </c>
      <c r="B10" s="29" t="s">
        <v>169</v>
      </c>
      <c r="C10" s="30"/>
    </row>
    <row r="11" spans="1:3" x14ac:dyDescent="0.35">
      <c r="A11" s="28" t="s">
        <v>170</v>
      </c>
      <c r="B11" s="29" t="s">
        <v>171</v>
      </c>
      <c r="C11" s="30"/>
    </row>
    <row r="12" spans="1:3" x14ac:dyDescent="0.35">
      <c r="A12" s="28" t="s">
        <v>172</v>
      </c>
      <c r="B12" s="29" t="s">
        <v>173</v>
      </c>
      <c r="C12" s="30"/>
    </row>
    <row r="13" spans="1:3" x14ac:dyDescent="0.35">
      <c r="A13" s="31" t="s">
        <v>174</v>
      </c>
      <c r="B13" s="32" t="s">
        <v>175</v>
      </c>
      <c r="C13" s="33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workbookViewId="0">
      <pane ySplit="1" topLeftCell="A2" activePane="bottomLeft" state="frozen"/>
      <selection pane="bottomLeft" sqref="A1:C8"/>
    </sheetView>
  </sheetViews>
  <sheetFormatPr defaultRowHeight="14.5" x14ac:dyDescent="0.35"/>
  <cols>
    <col min="1" max="1" width="28" customWidth="1"/>
    <col min="2" max="2" width="60" customWidth="1"/>
    <col min="3" max="3" width="55" customWidth="1"/>
  </cols>
  <sheetData>
    <row r="1" spans="1:3" s="34" customFormat="1" x14ac:dyDescent="0.35">
      <c r="A1" s="4" t="s">
        <v>176</v>
      </c>
      <c r="B1" s="5" t="s">
        <v>177</v>
      </c>
      <c r="C1" s="6" t="s">
        <v>178</v>
      </c>
    </row>
    <row r="2" spans="1:3" s="34" customFormat="1" x14ac:dyDescent="0.35">
      <c r="A2" s="22" t="s">
        <v>179</v>
      </c>
      <c r="B2" s="23" t="s">
        <v>180</v>
      </c>
      <c r="C2" s="24" t="s">
        <v>181</v>
      </c>
    </row>
    <row r="3" spans="1:3" s="34" customFormat="1" x14ac:dyDescent="0.35">
      <c r="A3" s="22" t="s">
        <v>182</v>
      </c>
      <c r="B3" s="23" t="s">
        <v>183</v>
      </c>
      <c r="C3" s="24" t="s">
        <v>184</v>
      </c>
    </row>
    <row r="4" spans="1:3" s="34" customFormat="1" x14ac:dyDescent="0.35">
      <c r="A4" s="22" t="s">
        <v>185</v>
      </c>
      <c r="B4" s="23" t="s">
        <v>186</v>
      </c>
      <c r="C4" s="24" t="s">
        <v>187</v>
      </c>
    </row>
    <row r="5" spans="1:3" s="34" customFormat="1" x14ac:dyDescent="0.35">
      <c r="A5" s="22" t="s">
        <v>188</v>
      </c>
      <c r="B5" s="23" t="s">
        <v>189</v>
      </c>
      <c r="C5" s="24" t="s">
        <v>190</v>
      </c>
    </row>
    <row r="6" spans="1:3" s="34" customFormat="1" x14ac:dyDescent="0.35">
      <c r="A6" s="22" t="s">
        <v>191</v>
      </c>
      <c r="B6" s="23" t="s">
        <v>192</v>
      </c>
      <c r="C6" s="24" t="s">
        <v>193</v>
      </c>
    </row>
    <row r="7" spans="1:3" s="34" customFormat="1" x14ac:dyDescent="0.35">
      <c r="A7" s="22" t="s">
        <v>194</v>
      </c>
      <c r="B7" s="23" t="s">
        <v>195</v>
      </c>
      <c r="C7" s="24" t="s">
        <v>196</v>
      </c>
    </row>
    <row r="8" spans="1:3" s="34" customFormat="1" x14ac:dyDescent="0.35">
      <c r="A8" s="25" t="s">
        <v>197</v>
      </c>
      <c r="B8" s="26" t="s">
        <v>198</v>
      </c>
      <c r="C8" s="27" t="s">
        <v>199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showGridLines="0" workbookViewId="0">
      <selection activeCell="H8" sqref="H8"/>
    </sheetView>
  </sheetViews>
  <sheetFormatPr defaultRowHeight="14.5" x14ac:dyDescent="0.35"/>
  <cols>
    <col min="1" max="1" width="24" customWidth="1"/>
    <col min="2" max="2" width="110" customWidth="1"/>
  </cols>
  <sheetData>
    <row r="1" spans="1:2" ht="21" x14ac:dyDescent="0.5">
      <c r="A1" s="35" t="s">
        <v>215</v>
      </c>
      <c r="B1" s="36"/>
    </row>
    <row r="2" spans="1:2" ht="17" x14ac:dyDescent="0.4">
      <c r="A2" s="37" t="s">
        <v>200</v>
      </c>
      <c r="B2" s="36"/>
    </row>
    <row r="3" spans="1:2" x14ac:dyDescent="0.35">
      <c r="A3" s="21"/>
      <c r="B3" s="21"/>
    </row>
    <row r="4" spans="1:2" x14ac:dyDescent="0.35">
      <c r="A4" s="7" t="s">
        <v>201</v>
      </c>
      <c r="B4" s="21" t="s">
        <v>202</v>
      </c>
    </row>
    <row r="5" spans="1:2" x14ac:dyDescent="0.35">
      <c r="A5" s="21"/>
      <c r="B5" s="21"/>
    </row>
    <row r="6" spans="1:2" ht="29" x14ac:dyDescent="0.35">
      <c r="A6" s="7" t="s">
        <v>203</v>
      </c>
      <c r="B6" s="21" t="s">
        <v>204</v>
      </c>
    </row>
    <row r="7" spans="1:2" x14ac:dyDescent="0.35">
      <c r="A7" s="21"/>
      <c r="B7" s="21"/>
    </row>
    <row r="8" spans="1:2" ht="43.5" x14ac:dyDescent="0.35">
      <c r="A8" s="7" t="s">
        <v>205</v>
      </c>
      <c r="B8" s="21" t="s">
        <v>206</v>
      </c>
    </row>
    <row r="9" spans="1:2" x14ac:dyDescent="0.35">
      <c r="A9" s="21"/>
      <c r="B9" s="21"/>
    </row>
    <row r="10" spans="1:2" x14ac:dyDescent="0.35">
      <c r="A10" s="7" t="s">
        <v>207</v>
      </c>
      <c r="B10" s="21" t="s">
        <v>15</v>
      </c>
    </row>
    <row r="11" spans="1:2" x14ac:dyDescent="0.35">
      <c r="A11" s="7" t="s">
        <v>208</v>
      </c>
      <c r="B11" s="21" t="s">
        <v>209</v>
      </c>
    </row>
    <row r="12" spans="1:2" x14ac:dyDescent="0.35">
      <c r="A12" s="7" t="s">
        <v>208</v>
      </c>
      <c r="B12" s="21" t="s">
        <v>210</v>
      </c>
    </row>
    <row r="13" spans="1:2" x14ac:dyDescent="0.35">
      <c r="A13" s="21"/>
      <c r="B13" s="21"/>
    </row>
    <row r="14" spans="1:2" x14ac:dyDescent="0.35">
      <c r="A14" s="7" t="s">
        <v>211</v>
      </c>
      <c r="B14" s="21" t="s">
        <v>212</v>
      </c>
    </row>
    <row r="15" spans="1:2" x14ac:dyDescent="0.35">
      <c r="A15" s="21"/>
      <c r="B15" s="21"/>
    </row>
    <row r="16" spans="1:2" x14ac:dyDescent="0.35">
      <c r="A16" s="7" t="s">
        <v>213</v>
      </c>
      <c r="B16" s="21" t="s">
        <v>214</v>
      </c>
    </row>
  </sheetData>
  <mergeCells count="2">
    <mergeCell ref="A2:B2"/>
    <mergeCell ref="A1:B1"/>
  </mergeCells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215C00262DA744A50A36C6E8B99254" ma:contentTypeVersion="19" ma:contentTypeDescription="Create a new document." ma:contentTypeScope="" ma:versionID="32a7b1c0e5e201cd65a3565521a8ef02">
  <xsd:schema xmlns:xsd="http://www.w3.org/2001/XMLSchema" xmlns:xs="http://www.w3.org/2001/XMLSchema" xmlns:p="http://schemas.microsoft.com/office/2006/metadata/properties" xmlns:ns1="http://schemas.microsoft.com/sharepoint/v3" xmlns:ns2="63ad65fb-0e1b-4995-abb8-bb790a0465e6" xmlns:ns3="9f754ebe-bd47-43ec-8d4a-4ab387386602" targetNamespace="http://schemas.microsoft.com/office/2006/metadata/properties" ma:root="true" ma:fieldsID="6be71cab6f6f49eb97602187caaf6fe4" ns1:_="" ns2:_="" ns3:_="">
    <xsd:import namespace="http://schemas.microsoft.com/sharepoint/v3"/>
    <xsd:import namespace="63ad65fb-0e1b-4995-abb8-bb790a0465e6"/>
    <xsd:import namespace="9f754ebe-bd47-43ec-8d4a-4ab3873866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d65fb-0e1b-4995-abb8-bb790a046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3fe8d3c-0f3e-402f-8378-068a6b5344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4ebe-bd47-43ec-8d4a-4ab38738660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5808335-d415-4ba0-89a0-ebd76934d26c}" ma:internalName="TaxCatchAll" ma:showField="CatchAllData" ma:web="9f754ebe-bd47-43ec-8d4a-4ab3873866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3ad65fb-0e1b-4995-abb8-bb790a0465e6">
      <Terms xmlns="http://schemas.microsoft.com/office/infopath/2007/PartnerControls"/>
    </lcf76f155ced4ddcb4097134ff3c332f>
    <_ip_UnifiedCompliancePolicyProperties xmlns="http://schemas.microsoft.com/sharepoint/v3" xsi:nil="true"/>
    <TaxCatchAll xmlns="9f754ebe-bd47-43ec-8d4a-4ab387386602" xsi:nil="true"/>
  </documentManagement>
</p:properties>
</file>

<file path=customXml/itemProps1.xml><?xml version="1.0" encoding="utf-8"?>
<ds:datastoreItem xmlns:ds="http://schemas.openxmlformats.org/officeDocument/2006/customXml" ds:itemID="{397FB604-0E80-4E22-BA78-200DD1F58DF4}"/>
</file>

<file path=customXml/itemProps2.xml><?xml version="1.0" encoding="utf-8"?>
<ds:datastoreItem xmlns:ds="http://schemas.openxmlformats.org/officeDocument/2006/customXml" ds:itemID="{FFF2855C-10B5-4F17-816B-D9ACC78A2597}"/>
</file>

<file path=customXml/itemProps3.xml><?xml version="1.0" encoding="utf-8"?>
<ds:datastoreItem xmlns:ds="http://schemas.openxmlformats.org/officeDocument/2006/customXml" ds:itemID="{FD419ADE-5474-4848-B35E-EE5BF1BB3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 Follow-Up Checklist</vt:lpstr>
      <vt:lpstr>Account Note Template</vt:lpstr>
      <vt:lpstr>Prioritization Matrix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 Follow-Up Checklist</dc:title>
  <dc:subject/>
  <dc:creator>Dominic Joseph</dc:creator>
  <cp:keywords/>
  <dc:description/>
  <cp:lastModifiedBy>Dominic Joseph</cp:lastModifiedBy>
  <cp:revision/>
  <dcterms:created xsi:type="dcterms:W3CDTF">2026-10-05T07:59:04Z</dcterms:created>
  <dcterms:modified xsi:type="dcterms:W3CDTF">2026-10-05T08:11:23Z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0x01010010215C00262DA744A50A36C6E8B99254</vt:lpwstr>
  </property>
</Properties>
</file>