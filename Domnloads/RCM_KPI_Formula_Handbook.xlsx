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ccesshub.sharepoint.com/teams/IND-EBO-Dental/EBODental_GIR/EBO_PDS_NonPHI_GIR/Claims Review/Review GI (C)/Claims Review - Audit Underpaid/Audit Underpaid_SOP/Revenue Cycle Knowledge Bank - Giveaway Bundle/"/>
    </mc:Choice>
  </mc:AlternateContent>
  <xr:revisionPtr revIDLastSave="11" documentId="8_{97405896-EEC3-414A-A1C5-DD93836A651E}" xr6:coauthVersionLast="47" xr6:coauthVersionMax="47" xr10:uidLastSave="{16DFFAA3-3A14-4DE0-8EAA-8283C9E682C7}"/>
  <bookViews>
    <workbookView xWindow="28680" yWindow="-120" windowWidth="29040" windowHeight="15720" activeTab="1" xr2:uid="{00000000-000D-0000-FFFF-FFFF00000000}"/>
  </bookViews>
  <sheets>
    <sheet name="KPI Formula Handbook" sheetId="1" r:id="rId1"/>
    <sheet name="KPI Calculator" sheetId="2" r:id="rId2"/>
    <sheet name="Worked Examples" sheetId="3" r:id="rId3"/>
    <sheet name="Metric Governance" sheetId="4" r:id="rId4"/>
    <sheet name="Read M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<sst xmlns="http://schemas.openxmlformats.org/spreadsheetml/2006/main" count="509" uniqueCount="340">
  <si>
    <t>No.</t>
  </si>
  <si>
    <t>KPI</t>
  </si>
  <si>
    <t>Domain</t>
  </si>
  <si>
    <t>What it measures</t>
  </si>
  <si>
    <t>Formula</t>
  </si>
  <si>
    <t>Numerator</t>
  </si>
  <si>
    <t>Denominator</t>
  </si>
  <si>
    <t>Unit</t>
  </si>
  <si>
    <t>Direction</t>
  </si>
  <si>
    <t>Review cadence</t>
  </si>
  <si>
    <t>Interpretation / action</t>
  </si>
  <si>
    <t>Definition caution</t>
  </si>
  <si>
    <t>Source</t>
  </si>
  <si>
    <t>Net Days in A/R</t>
  </si>
  <si>
    <t>Account resolution</t>
  </si>
  <si>
    <t>Approximate number of days of net patient service revenue tied up in receivables.</t>
  </si>
  <si>
    <t>Net A/R / Average daily net patient service revenue</t>
  </si>
  <si>
    <t>Net patient A/R</t>
  </si>
  <si>
    <t>Net patient service revenue for period / days in period</t>
  </si>
  <si>
    <t>Days</t>
  </si>
  <si>
    <t>Lower</t>
  </si>
  <si>
    <t>Monthly</t>
  </si>
  <si>
    <t>A rising trend may indicate billing delays, denials, slow follow-up, payer delays, or posting issues.</t>
  </si>
  <si>
    <t>Use net revenue with net A/R. Do not mix a gross-charge denominator with a net-A/R numerator.</t>
  </si>
  <si>
    <t>https://www.hfma.org/data-and-insights/map-initiative/map-keys/</t>
  </si>
  <si>
    <t>Gross Days in A/R</t>
  </si>
  <si>
    <t>Approximate collection cycle using billed A/R and gross charges.</t>
  </si>
  <si>
    <t>Gross billed A/R / Average daily gross charges</t>
  </si>
  <si>
    <t>Gross billed A/R</t>
  </si>
  <si>
    <t>Gross charges for period / days in period</t>
  </si>
  <si>
    <t>Trend by payer, location, specialty, and aging bucket to locate delays.</t>
  </si>
  <si>
    <t>This is not interchangeable with net days in A/R. Define credit-balance treatment consistently.</t>
  </si>
  <si>
    <t>A/R Over 90 Days</t>
  </si>
  <si>
    <t>Share of billed A/R aged more than 90 days.</t>
  </si>
  <si>
    <t>A/R over 90 days / Total billed A/R</t>
  </si>
  <si>
    <t>Billed A/R aged over 90 days</t>
  </si>
  <si>
    <t>Total billed A/R</t>
  </si>
  <si>
    <t>%</t>
  </si>
  <si>
    <t>Growth suggests delayed resolution, denial backlog, payer issues, or poor prioritization.</t>
  </si>
  <si>
    <t>State whether credits, bad debt, and outsourced A/R are included.</t>
  </si>
  <si>
    <t>A/R Over 120 Days</t>
  </si>
  <si>
    <t>Share of billed A/R aged more than 120 days.</t>
  </si>
  <si>
    <t>A/R over 120 days / Total billed A/R</t>
  </si>
  <si>
    <t>Billed A/R aged over 120 days</t>
  </si>
  <si>
    <t>Use for collectability risk and focused high-aging work plans.</t>
  </si>
  <si>
    <t>Aging basis should be consistent, such as discharge date, service date, or bill date.</t>
  </si>
  <si>
    <t>Clean Claim Rate</t>
  </si>
  <si>
    <t>Claims</t>
  </si>
  <si>
    <t>Share of claims accepted for adjudication without front-end rejection or required correction.</t>
  </si>
  <si>
    <t>Clean claims / Total claims submitted</t>
  </si>
  <si>
    <t>Claims accepted without correction</t>
  </si>
  <si>
    <t>Total claims submitted</t>
  </si>
  <si>
    <t>Higher</t>
  </si>
  <si>
    <t>Weekly / Monthly</t>
  </si>
  <si>
    <t>Low performance points to registration, coding, charge, provider, or claim-edit defects.</t>
  </si>
  <si>
    <t>Organizations define clean claim differently. Document whether payer edits and clearinghouse rejections are included.</t>
  </si>
  <si>
    <t>First-Pass Resolution Rate</t>
  </si>
  <si>
    <t>Share of claims paid or otherwise finally resolved on initial adjudication without rework.</t>
  </si>
  <si>
    <t>Claims resolved on first pass / Total adjudicated claims</t>
  </si>
  <si>
    <t>Claims resolved without rework</t>
  </si>
  <si>
    <t>Total adjudicated claims</t>
  </si>
  <si>
    <t>A decline signals rework, denials, underpayments, or posting exceptions.</t>
  </si>
  <si>
    <t>Define whether zero-pay contractual claims and patient responsibility count as resolved.</t>
  </si>
  <si>
    <t>Initial Denial Rate by Claim Count</t>
  </si>
  <si>
    <t>Percentage of adjudicated claims initially denied.</t>
  </si>
  <si>
    <t>Initially denied claims / Total adjudicated claims</t>
  </si>
  <si>
    <t>Initially denied claims</t>
  </si>
  <si>
    <t>Trend by payer, reason, service, provider, and root-cause owner.</t>
  </si>
  <si>
    <t>Distinguish denials from rejections and non-denial adjustments. Use consistent claim-level logic.</t>
  </si>
  <si>
    <t>https://www.cms.gov/medicare/coding-billing/electronic-billing/health-care-payment-remittance-advice</t>
  </si>
  <si>
    <t>Initial Denial Rate by Dollar</t>
  </si>
  <si>
    <t>Percentage of adjudicated claim dollars initially denied.</t>
  </si>
  <si>
    <t>Initially denied dollars / Total adjudicated claim dollars</t>
  </si>
  <si>
    <t>Initially denied charge or expected dollars</t>
  </si>
  <si>
    <t>Total adjudicated charge or expected dollars</t>
  </si>
  <si>
    <t>Shows financial exposure that claim-count rate can hide.</t>
  </si>
  <si>
    <t>Choose billed charges, expected reimbursement, or allowed dollars and label it clearly.</t>
  </si>
  <si>
    <t>Denial Overturn Rate</t>
  </si>
  <si>
    <t>Share of appealed or reconsidered denials overturned in the provider’s favor.</t>
  </si>
  <si>
    <t>Overturned denials / Denials appealed and decided</t>
  </si>
  <si>
    <t>Denials overturned</t>
  </si>
  <si>
    <t>Appeals or reconsiderations with a decision</t>
  </si>
  <si>
    <t>Monthly / Quarterly</t>
  </si>
  <si>
    <t>Low results may indicate weak appeal selection, documentation, or policy alignment.</t>
  </si>
  <si>
    <t>Exclude open appeals. Define partial overturn treatment.</t>
  </si>
  <si>
    <t>https://x12.org/codes/claim-adjustment-reason-codes</t>
  </si>
  <si>
    <t>Appeal Success Dollars</t>
  </si>
  <si>
    <t>Share of appealed dollars recovered after a final decision.</t>
  </si>
  <si>
    <t>Recovered appealed dollars / Appealed dollars decided</t>
  </si>
  <si>
    <t>Dollars recovered from decided appeals</t>
  </si>
  <si>
    <t>Total appealed dollars with final decision</t>
  </si>
  <si>
    <t>Use to prioritize appeal categories with the strongest recovery opportunity.</t>
  </si>
  <si>
    <t>Separate cash recovered from balance adjustments and partial payments.</t>
  </si>
  <si>
    <t>Avoidable Denial Rate</t>
  </si>
  <si>
    <t>Share of denials attributed to preventable internal process defects.</t>
  </si>
  <si>
    <t>Avoidable denials / Total denials reviewed</t>
  </si>
  <si>
    <t>Denials classified as avoidable</t>
  </si>
  <si>
    <t>Total denials reviewed</t>
  </si>
  <si>
    <t>Drives corrective action in registration, authorization, coding, documentation, and billing.</t>
  </si>
  <si>
    <t>Requires a governed root-cause taxonomy and quality review.</t>
  </si>
  <si>
    <t>Rejection Rate</t>
  </si>
  <si>
    <t>Share of submitted claims rejected before adjudication.</t>
  </si>
  <si>
    <t>Rejected claims / Total claims submitted</t>
  </si>
  <si>
    <t>Claims rejected by clearinghouse or payer front end</t>
  </si>
  <si>
    <t>Daily / Weekly</t>
  </si>
  <si>
    <t>High rate delays adjudication and can create timely-filing risk.</t>
  </si>
  <si>
    <t>Keep rejections separate from adjudicated denials.</t>
  </si>
  <si>
    <t>Days in DNFB</t>
  </si>
  <si>
    <t>Pre-billing</t>
  </si>
  <si>
    <t>Equivalent days of gross revenue held in discharged-not-final-billed status.</t>
  </si>
  <si>
    <t>DNFB dollars / Average daily gross revenue</t>
  </si>
  <si>
    <t>Gross dollars in DNFB</t>
  </si>
  <si>
    <t>Gross patient service revenue / days in period</t>
  </si>
  <si>
    <t>High days may signal coding, documentation, charge, or discharge workflow delays.</t>
  </si>
  <si>
    <t>Define DNFB population and revenue basis consistently.</t>
  </si>
  <si>
    <t>Charge Lag Days</t>
  </si>
  <si>
    <t>Elapsed time between date of service and charge entry or posting.</t>
  </si>
  <si>
    <t>Sum of charge lag days / Number of charges</t>
  </si>
  <si>
    <t>Total elapsed days from service to charge entry</t>
  </si>
  <si>
    <t>Number of charges</t>
  </si>
  <si>
    <t>Use by department to identify late charge capture.</t>
  </si>
  <si>
    <t>Weighted and unweighted averages produce different results.</t>
  </si>
  <si>
    <t>Late Charge Rate</t>
  </si>
  <si>
    <t>Share of charges posted after the organization’s defined cutoff.</t>
  </si>
  <si>
    <t>Late charge dollars / Total charge dollars</t>
  </si>
  <si>
    <t>Charges posted after cutoff</t>
  </si>
  <si>
    <t>Total charge dollars</t>
  </si>
  <si>
    <t>High values may cause corrected claims, delayed billing, or lost revenue.</t>
  </si>
  <si>
    <t>Document the late-charge cutoff and whether metric uses count or dollars.</t>
  </si>
  <si>
    <t>Insurance Verification Rate</t>
  </si>
  <si>
    <t>Patient access</t>
  </si>
  <si>
    <t>Share of eligible scheduled encounters with insurance verified before service.</t>
  </si>
  <si>
    <t>Verified eligible encounters / Eligible scheduled encounters</t>
  </si>
  <si>
    <t>Encounters verified to standard</t>
  </si>
  <si>
    <t>Encounters eligible for verification</t>
  </si>
  <si>
    <t>Low performance increases eligibility, demographic, and COB denials.</t>
  </si>
  <si>
    <t>Define eligible encounters, timing, and verification standard.</t>
  </si>
  <si>
    <t>Authorization Rate</t>
  </si>
  <si>
    <t>Share of services requiring authorization that obtained valid authorization before service.</t>
  </si>
  <si>
    <t>Authorized required services / Services requiring authorization</t>
  </si>
  <si>
    <t>Services with valid authorization</t>
  </si>
  <si>
    <t>Services requiring authorization</t>
  </si>
  <si>
    <t>Trend misses by payer, service, location, and root-cause owner.</t>
  </si>
  <si>
    <t>Authorization must match service, dates, units, provider, and site where applicable.</t>
  </si>
  <si>
    <t>Pre-Registration Rate</t>
  </si>
  <si>
    <t>Share of eligible scheduled encounters pre-registered before the defined cutoff.</t>
  </si>
  <si>
    <t>Pre-registered encounters / Eligible scheduled encounters</t>
  </si>
  <si>
    <t>Encounters completed before cutoff</t>
  </si>
  <si>
    <t>Eligible scheduled encounters</t>
  </si>
  <si>
    <t>Supports accurate registration, estimates, authorization, and point-of-service collection.</t>
  </si>
  <si>
    <t>Define cutoff and excluded encounter types.</t>
  </si>
  <si>
    <t>Point-of-Service Collection Rate</t>
  </si>
  <si>
    <t>Share of identified patient-responsibility opportunity collected at or before service.</t>
  </si>
  <si>
    <t>POS patient cash collected / POS collection opportunity</t>
  </si>
  <si>
    <t>Patient payments collected at or before service</t>
  </si>
  <si>
    <t>Defined POS collection opportunity</t>
  </si>
  <si>
    <t>Daily / Monthly</t>
  </si>
  <si>
    <t>Use by location and service line while monitoring patient experience and financial-assistance rules.</t>
  </si>
  <si>
    <t>Denominator varies widely. Avoid comparing organizations without matching definitions.</t>
  </si>
  <si>
    <t>Net Collection Rate</t>
  </si>
  <si>
    <t>Financial management</t>
  </si>
  <si>
    <t>Share of collectible net revenue actually collected.</t>
  </si>
  <si>
    <t>Net collections / Net collectible amount</t>
  </si>
  <si>
    <t>Payments net of refunds, per policy</t>
  </si>
  <si>
    <t>Gross charges less contractual adjustments and approved exclusions</t>
  </si>
  <si>
    <t>Monthly / Rolling 12 months</t>
  </si>
  <si>
    <t>A sustained decline can indicate denials, bad debt, underpayments, or leakage.</t>
  </si>
  <si>
    <t>Use a matched service cohort or lag-adjusted method. Define exclusions and refunds.</t>
  </si>
  <si>
    <t>Gross Collection Rate</t>
  </si>
  <si>
    <t>Cash collected as a percentage of gross charges.</t>
  </si>
  <si>
    <t>Total collections / Gross charges</t>
  </si>
  <si>
    <t>Cash collected</t>
  </si>
  <si>
    <t>Gross charges</t>
  </si>
  <si>
    <t>Context</t>
  </si>
  <si>
    <t>Useful for internal trending, but heavily influenced by charge master and payer mix.</t>
  </si>
  <si>
    <t>Not a measure of collectible yield and not comparable across unlike organizations.</t>
  </si>
  <si>
    <t>Cash Collection as % of Net Revenue</t>
  </si>
  <si>
    <t>Cash collected relative to net patient service revenue.</t>
  </si>
  <si>
    <t>Patient service cash collected / Net patient service revenue</t>
  </si>
  <si>
    <t>Patient service cash collected</t>
  </si>
  <si>
    <t>Net patient service revenue</t>
  </si>
  <si>
    <t>Monthly / Rolling period</t>
  </si>
  <si>
    <t>Indicates whether cash realization keeps pace with recognized net revenue.</t>
  </si>
  <si>
    <t>Align cash and revenue periods; seasonality and lag can distort a single month.</t>
  </si>
  <si>
    <t>Cost to Collect</t>
  </si>
  <si>
    <t>Revenue-cycle operating cost per dollar of patient-service cash collected.</t>
  </si>
  <si>
    <t>Revenue cycle cost / Patient service cash collected</t>
  </si>
  <si>
    <t>Defined revenue cycle operating cost</t>
  </si>
  <si>
    <t>Quarterly / Annual</t>
  </si>
  <si>
    <t>Use with quality and yield metrics to avoid reducing cost at the expense of collections or compliance.</t>
  </si>
  <si>
    <t>Define included labor, vendor, technology, occupancy, and shared-service costs.</t>
  </si>
  <si>
    <t>Bad Debt Rate</t>
  </si>
  <si>
    <t>Share of patient-service revenue written off as bad debt under policy.</t>
  </si>
  <si>
    <t>Bad debt expense or write-offs / Defined revenue base</t>
  </si>
  <si>
    <t>Bad debt expense or write-offs</t>
  </si>
  <si>
    <t>Gross or net patient service revenue, as defined</t>
  </si>
  <si>
    <t>Trend with POS collections, financial assistance, patient statements, and coverage conversion.</t>
  </si>
  <si>
    <t>Gross versus net denominator materially changes the rate.</t>
  </si>
  <si>
    <t>Credit Balance Rate</t>
  </si>
  <si>
    <t>Share of accounts or A/R value represented by credit balances.</t>
  </si>
  <si>
    <t>Credit balance dollars / Total A/R dollars</t>
  </si>
  <si>
    <t>Absolute credit balance dollars</t>
  </si>
  <si>
    <t>Total A/R dollars</t>
  </si>
  <si>
    <t>High levels require refund, recoupment, posting, and compliance review.</t>
  </si>
  <si>
    <t>Use absolute credit dollars; define whether unapplied cash is included.</t>
  </si>
  <si>
    <t>Underpayment Rate</t>
  </si>
  <si>
    <t>Share of expected reimbursement not received.</t>
  </si>
  <si>
    <t>Underpaid amount / Expected reimbursement</t>
  </si>
  <si>
    <t>Expected reimbursement less actual allowed/payment, subject to policy</t>
  </si>
  <si>
    <t>Expected reimbursement</t>
  </si>
  <si>
    <t>Trend by payer, contract, service, modifier, and place of service.</t>
  </si>
  <si>
    <t>Requires reliable contract modeling and consistent treatment of patient responsibility.</t>
  </si>
  <si>
    <t>Payment Posting Lag</t>
  </si>
  <si>
    <t>Average elapsed time from payment receipt to account posting.</t>
  </si>
  <si>
    <t>Total posting lag days / Payments posted</t>
  </si>
  <si>
    <t>Elapsed days from receipt to posting</t>
  </si>
  <si>
    <t>Payments or posting batches</t>
  </si>
  <si>
    <t>Delays distort A/R, patient balances, and follow-up worklists.</t>
  </si>
  <si>
    <t>Define receipt point and whether metric is transaction- or batch-weighted.</t>
  </si>
  <si>
    <t>Productivity Attainment</t>
  </si>
  <si>
    <t>Operations</t>
  </si>
  <si>
    <t>Actual completed units compared with expected units for available productive time.</t>
  </si>
  <si>
    <t>Actual weighted units / Expected weighted units</t>
  </si>
  <si>
    <t>Actual completed or weighted work units</t>
  </si>
  <si>
    <t>Target units for productive hours</t>
  </si>
  <si>
    <t>Use with quality, complexity, and outcome metrics, not as a standalone measure.</t>
  </si>
  <si>
    <t>Normalize for account complexity, nonproductive time, and role mix.</t>
  </si>
  <si>
    <t>Quality Accuracy Rate</t>
  </si>
  <si>
    <t>Share of audited work items completed without a defined error.</t>
  </si>
  <si>
    <t>Accurate audited items / Total audited items</t>
  </si>
  <si>
    <t>Audited items meeting all quality criteria</t>
  </si>
  <si>
    <t>Total audited items</t>
  </si>
  <si>
    <t>Use error categories and severity to target coaching and process fixes.</t>
  </si>
  <si>
    <t>Define sample method, error severity, and pass criteria.</t>
  </si>
  <si>
    <t>Revenue per FTE</t>
  </si>
  <si>
    <t>Revenue or cash outcome per full-time-equivalent resource.</t>
  </si>
  <si>
    <t>Selected revenue measure / Average FTE</t>
  </si>
  <si>
    <t>Net revenue, collections, or other labeled output</t>
  </si>
  <si>
    <t>Average FTE for same period</t>
  </si>
  <si>
    <t>Currency/FTE</t>
  </si>
  <si>
    <t>Use for capacity and trend analysis alongside volume, complexity, automation, and quality.</t>
  </si>
  <si>
    <t>Label revenue basis and included FTE population. Do not compare dissimilar functions.</t>
  </si>
  <si>
    <t>Revenue Cycle KPI Calculator</t>
  </si>
  <si>
    <t>Input 1</t>
  </si>
  <si>
    <t>Value 1</t>
  </si>
  <si>
    <t>Input 2</t>
  </si>
  <si>
    <t>Value 2</t>
  </si>
  <si>
    <t>Calculated result</t>
  </si>
  <si>
    <t>Net A/R</t>
  </si>
  <si>
    <t>Net revenue for period</t>
  </si>
  <si>
    <t>Gross charges for period</t>
  </si>
  <si>
    <t>A/R &gt;90 days</t>
  </si>
  <si>
    <t>Clean claims</t>
  </si>
  <si>
    <t>First-pass resolved</t>
  </si>
  <si>
    <t>Initial Denial Rate</t>
  </si>
  <si>
    <t>Rejected claims</t>
  </si>
  <si>
    <t>Overturned denials</t>
  </si>
  <si>
    <t>Decided appeals</t>
  </si>
  <si>
    <t>DNFB dollars</t>
  </si>
  <si>
    <t>Gross revenue for period</t>
  </si>
  <si>
    <t>Verified encounters</t>
  </si>
  <si>
    <t>Eligible encounters</t>
  </si>
  <si>
    <t>Authorized services</t>
  </si>
  <si>
    <t>Services requiring auth</t>
  </si>
  <si>
    <t>Net collections</t>
  </si>
  <si>
    <t>Net collectible amount</t>
  </si>
  <si>
    <t>Total collections</t>
  </si>
  <si>
    <t>RCM operating cost</t>
  </si>
  <si>
    <t>Patient service cash</t>
  </si>
  <si>
    <t>Underpaid amount</t>
  </si>
  <si>
    <t>Actual weighted units</t>
  </si>
  <si>
    <t>Expected weighted units</t>
  </si>
  <si>
    <t>Accurate audited items</t>
  </si>
  <si>
    <t>Selected revenue</t>
  </si>
  <si>
    <t>Average FTE</t>
  </si>
  <si>
    <t>Blue values are example inputs. Replace them with values from the same measurement period and a consistent metric definition.</t>
  </si>
  <si>
    <t>Example inputs</t>
  </si>
  <si>
    <t>Calculation</t>
  </si>
  <si>
    <t>Result</t>
  </si>
  <si>
    <t>How to interpret</t>
  </si>
  <si>
    <t>Net A/R = $1,250,000; 90-day net revenue = $2,700,000</t>
  </si>
  <si>
    <t>$1,250,000 / ($2,700,000 / 90)</t>
  </si>
  <si>
    <t>41.7 days</t>
  </si>
  <si>
    <t>Approximately 41.7 days of net revenue is outstanding.</t>
  </si>
  <si>
    <t>9,200 clean claims; 10,000 claims submitted</t>
  </si>
  <si>
    <t>9,200 / 10,000</t>
  </si>
  <si>
    <t>92.0%</t>
  </si>
  <si>
    <t>92 of every 100 submitted claims were accepted without correction under the selected definition.</t>
  </si>
  <si>
    <t>760 initially denied; 9,500 adjudicated</t>
  </si>
  <si>
    <t>760 / 9,500</t>
  </si>
  <si>
    <t>8.0%</t>
  </si>
  <si>
    <t>8 of every 100 adjudicated claims were initially denied.</t>
  </si>
  <si>
    <t>$2,380,000 net collections; $2,500,000 net collectible</t>
  </si>
  <si>
    <t>$2,380,000 / $2,500,000</t>
  </si>
  <si>
    <t>95.2%</t>
  </si>
  <si>
    <t>The organization collected 95.2% of the defined collectible amount.</t>
  </si>
  <si>
    <t>$145,000 RCM cost; $2,380,000 patient-service cash</t>
  </si>
  <si>
    <t>$145,000 / $2,380,000</t>
  </si>
  <si>
    <t>6.1%</t>
  </si>
  <si>
    <t>About 6.1 cents of defined RCM cost was incurred per dollar collected.</t>
  </si>
  <si>
    <t>Governance checkpoint</t>
  </si>
  <si>
    <t>Required decision</t>
  </si>
  <si>
    <t>Purpose</t>
  </si>
  <si>
    <t>State the business question the KPI is intended to answer.</t>
  </si>
  <si>
    <t>Owner</t>
  </si>
  <si>
    <t>Assign one accountable metric owner and data steward.</t>
  </si>
  <si>
    <t>Exact definition</t>
  </si>
  <si>
    <t>Document numerator, denominator, inclusions, exclusions, and adjustment handling.</t>
  </si>
  <si>
    <t>Measurement period</t>
  </si>
  <si>
    <t>Use matched periods and define service, posting, discharge, or adjudication date basis.</t>
  </si>
  <si>
    <t>Source system</t>
  </si>
  <si>
    <t>Name the authoritative report, table, or ledger and retain reproducible extracts.</t>
  </si>
  <si>
    <t>Granularity</t>
  </si>
  <si>
    <t>Define whether the unit is claim, claim line, encounter, account, dollar, or transaction.</t>
  </si>
  <si>
    <t>Refresh cadence</t>
  </si>
  <si>
    <t>State daily, weekly, monthly, rolling-quarter, or rolling-12-month frequency.</t>
  </si>
  <si>
    <t>Restatement rule</t>
  </si>
  <si>
    <t>Define how late postings, reversals, recoupments, and corrected claims alter prior periods.</t>
  </si>
  <si>
    <t>Segmentation</t>
  </si>
  <si>
    <t>Use payer, location, specialty, provider, denial category, aging, and work queue where useful.</t>
  </si>
  <si>
    <t>Benchmarking</t>
  </si>
  <si>
    <t>Compare only when definitions and populations are aligned.</t>
  </si>
  <si>
    <t>Target setting</t>
  </si>
  <si>
    <t>Set targets from baseline, payer mix, specialty, contracts, operating model, and approved peer data.</t>
  </si>
  <si>
    <t>Quality control</t>
  </si>
  <si>
    <t>Reconcile to source totals and investigate numerator/denominator breaks before publication.</t>
  </si>
  <si>
    <t>RCM KPI Formula Handbook</t>
  </si>
  <si>
    <t>A practical educational reference and calculator for common healthcare revenue cycle metrics across patient access, pre-billing, claims, account resolution, financial management, and operations.</t>
  </si>
  <si>
    <t>Important note</t>
  </si>
  <si>
    <t>KPI names are not always standardized across organizations. The same label may use different inclusions, exclusions, timing, or financial bases. Establish a governed definition before using a metric for targets, incentives, or benchmarking.</t>
  </si>
  <si>
    <t>Industry framework</t>
  </si>
  <si>
    <t>HFMA describes its MAP Keys as industry-standard revenue cycle KPIs organized across patient access, pre-billing, claims, account resolution, and financial management. This workbook is an original educational guide and does not claim to reproduce the complete official MAP Keys definitions.</t>
  </si>
  <si>
    <t>Official reference</t>
  </si>
  <si>
    <t>CMS remittance reference</t>
  </si>
  <si>
    <t>X12 CARC reference</t>
  </si>
  <si>
    <t>Version</t>
  </si>
  <si>
    <t>Prepared October 5, 2026</t>
  </si>
  <si>
    <t>Educational disclaimer</t>
  </si>
  <si>
    <t>For education and operational planning only. It is not accounting, legal, coding, clinical, contractual, compliance, or payer-specific advice. Verify formulas against approved organizational definitions and official sources.</t>
  </si>
  <si>
    <t>Revenue Cycle Knowledge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</si>
</sst>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&quot;days&quot;"/>
    <numFmt numFmtId="165" formatCode="0.0%"/>
    <numFmt numFmtId="166" formatCode="\$#,##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color rgb="FF666666"/>
      <name val="Calibri"/>
    </font>
    <font>
      <b/>
      <sz val="11"/>
      <color rgb="FF2F75B5"/>
      <name val="Calibri"/>
    </font>
    <font>
      <b/>
      <sz val="11"/>
      <color rgb="FF0F6B78"/>
      <name val="Calibri"/>
    </font>
    <font>
      <sz val="9"/>
      <color rgb="FF008000"/>
      <name val="Calibri"/>
    </font>
    <font>
      <b/>
      <sz val="16"/>
      <color rgb="FFFFFFFF"/>
      <name val="Calibri"/>
    </font>
    <font>
      <sz val="11"/>
      <color rgb="FF0000FF"/>
      <name val="Calibri"/>
    </font>
    <font>
      <b/>
      <sz val="11"/>
      <color rgb="FF000000"/>
      <name val="Calibri"/>
    </font>
    <font>
      <b/>
      <sz val="13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2F75B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top" wrapText="1"/>
    </xf>
    <xf numFmtId="0" fontId="7" fillId="2" borderId="0" xfId="0" applyFont="1" applyFill="1" applyAlignment="1">
      <alignment horizontal="center"/>
    </xf>
    <xf numFmtId="0" fontId="0" fillId="0" borderId="0" xfId="0"/>
    <xf numFmtId="0" fontId="0" fillId="5" borderId="0" xfId="0" applyFill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9" fillId="4" borderId="1" xfId="0" applyNumberFormat="1" applyFont="1" applyFill="1" applyBorder="1" applyAlignment="1">
      <alignment vertical="top" wrapText="1"/>
    </xf>
    <xf numFmtId="165" fontId="9" fillId="4" borderId="1" xfId="0" applyNumberFormat="1" applyFont="1" applyFill="1" applyBorder="1" applyAlignment="1">
      <alignment vertical="top" wrapText="1"/>
    </xf>
    <xf numFmtId="166" fontId="9" fillId="4" borderId="1" xfId="0" applyNumberFormat="1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0" fillId="0" borderId="1" xfId="0" applyBorder="1"/>
    <xf numFmtId="0" fontId="10" fillId="6" borderId="1" xfId="0" applyFont="1" applyFill="1" applyBorder="1" applyAlignment="1">
      <alignment horizontal="center"/>
    </xf>
  </cellXfs>
  <cellStyles count="1">
    <cellStyle name="Normal" xfId="0" builtinId="0"/>
  </cellStyles>
  <dxfs count="3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Handbook" displayName="KPIHandbook" ref="A1:M31" headerRowDxfId="18" dataDxfId="16" totalsRowDxfId="17" headerRowBorderDxfId="32" tableBorderDxfId="33">
  <tableColumns count="13">
    <tableColumn id="1" xr3:uid="{00000000-0010-0000-0000-000001000000}" name="No." dataDxfId="31"/>
    <tableColumn id="2" xr3:uid="{00000000-0010-0000-0000-000002000000}" name="KPI" dataDxfId="30"/>
    <tableColumn id="3" xr3:uid="{00000000-0010-0000-0000-000003000000}" name="Domain" dataDxfId="29"/>
    <tableColumn id="4" xr3:uid="{00000000-0010-0000-0000-000004000000}" name="What it measures" dataDxfId="28"/>
    <tableColumn id="5" xr3:uid="{00000000-0010-0000-0000-000005000000}" name="Formula" dataDxfId="27"/>
    <tableColumn id="6" xr3:uid="{00000000-0010-0000-0000-000006000000}" name="Numerator" dataDxfId="26"/>
    <tableColumn id="7" xr3:uid="{00000000-0010-0000-0000-000007000000}" name="Denominator" dataDxfId="25"/>
    <tableColumn id="8" xr3:uid="{00000000-0010-0000-0000-000008000000}" name="Unit" dataDxfId="24"/>
    <tableColumn id="9" xr3:uid="{00000000-0010-0000-0000-000009000000}" name="Direction" dataDxfId="23"/>
    <tableColumn id="10" xr3:uid="{00000000-0010-0000-0000-00000A000000}" name="Review cadence" dataDxfId="22"/>
    <tableColumn id="11" xr3:uid="{00000000-0010-0000-0000-00000B000000}" name="Interpretation / action" dataDxfId="21"/>
    <tableColumn id="12" xr3:uid="{00000000-0010-0000-0000-00000C000000}" name="Definition caution" dataDxfId="20"/>
    <tableColumn id="13" xr3:uid="{00000000-0010-0000-0000-00000D000000}" name="Sourc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kedExamples" displayName="WorkedExamples" ref="A1:E6" headerRowDxfId="8" dataDxfId="6" totalsRowDxfId="7" headerRowBorderDxfId="14" tableBorderDxfId="15">
  <autoFilter ref="A1:E6" xr:uid="{00000000-0009-0000-0100-000002000000}"/>
  <tableColumns count="5">
    <tableColumn id="1" xr3:uid="{00000000-0010-0000-0100-000001000000}" name="KPI" dataDxfId="13"/>
    <tableColumn id="2" xr3:uid="{00000000-0010-0000-0100-000002000000}" name="Example inputs" dataDxfId="12"/>
    <tableColumn id="3" xr3:uid="{00000000-0010-0000-0100-000003000000}" name="Calculation" dataDxfId="11"/>
    <tableColumn id="4" xr3:uid="{00000000-0010-0000-0100-000004000000}" name="Result" dataDxfId="10"/>
    <tableColumn id="5" xr3:uid="{00000000-0010-0000-0100-000005000000}" name="How to interpret" dataDxfId="9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ricGovernance" displayName="MetricGovernance" ref="A1:B13" headerRowDxfId="1" totalsRowDxfId="0" headerRowBorderDxfId="4" tableBorderDxfId="5">
  <tableColumns count="2">
    <tableColumn id="1" xr3:uid="{00000000-0010-0000-0200-000001000000}" name="Governance checkpoint" dataDxfId="3"/>
    <tableColumn id="2" xr3:uid="{00000000-0010-0000-0200-000002000000}" name="Required decision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opLeftCell="G1" workbookViewId="0">
      <pane ySplit="1" topLeftCell="A13" activePane="bottomLeft" state="frozen"/>
      <selection pane="bottomLeft" sqref="A1:M31"/>
    </sheetView>
  </sheetViews>
  <sheetFormatPr defaultRowHeight="14.5" x14ac:dyDescent="0.35"/>
  <cols>
    <col min="1" max="1" width="6" customWidth="1"/>
    <col min="2" max="2" width="31" customWidth="1"/>
    <col min="3" max="3" width="23" customWidth="1"/>
    <col min="4" max="4" width="45" customWidth="1"/>
    <col min="5" max="5" width="39" customWidth="1"/>
    <col min="6" max="6" width="37" customWidth="1"/>
    <col min="7" max="7" width="38" customWidth="1"/>
    <col min="8" max="8" width="14" customWidth="1"/>
    <col min="9" max="9" width="12" customWidth="1"/>
    <col min="10" max="10" width="20" customWidth="1"/>
    <col min="11" max="11" width="49" customWidth="1"/>
    <col min="12" max="12" width="50" customWidth="1"/>
    <col min="13" max="13" width="44" customWidth="1"/>
  </cols>
  <sheetData>
    <row r="1" spans="1:13" s="10" customForma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 s="10" customFormat="1" ht="26" x14ac:dyDescent="0.35">
      <c r="A2" s="11">
        <v>1</v>
      </c>
      <c r="B2" s="12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4" t="s">
        <v>21</v>
      </c>
      <c r="K2" s="14" t="s">
        <v>22</v>
      </c>
      <c r="L2" s="14" t="s">
        <v>23</v>
      </c>
      <c r="M2" s="15" t="s">
        <v>24</v>
      </c>
    </row>
    <row r="3" spans="1:13" s="10" customFormat="1" ht="26" x14ac:dyDescent="0.35">
      <c r="A3" s="11">
        <v>2</v>
      </c>
      <c r="B3" s="12" t="s">
        <v>25</v>
      </c>
      <c r="C3" s="13" t="s">
        <v>14</v>
      </c>
      <c r="D3" s="14" t="s">
        <v>26</v>
      </c>
      <c r="E3" s="14" t="s">
        <v>27</v>
      </c>
      <c r="F3" s="14" t="s">
        <v>28</v>
      </c>
      <c r="G3" s="14" t="s">
        <v>29</v>
      </c>
      <c r="H3" s="14" t="s">
        <v>19</v>
      </c>
      <c r="I3" s="14" t="s">
        <v>20</v>
      </c>
      <c r="J3" s="14" t="s">
        <v>21</v>
      </c>
      <c r="K3" s="14" t="s">
        <v>30</v>
      </c>
      <c r="L3" s="14" t="s">
        <v>31</v>
      </c>
      <c r="M3" s="15" t="s">
        <v>24</v>
      </c>
    </row>
    <row r="4" spans="1:13" s="10" customFormat="1" ht="26" x14ac:dyDescent="0.35">
      <c r="A4" s="11">
        <v>3</v>
      </c>
      <c r="B4" s="12" t="s">
        <v>32</v>
      </c>
      <c r="C4" s="13" t="s">
        <v>14</v>
      </c>
      <c r="D4" s="14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20</v>
      </c>
      <c r="J4" s="14" t="s">
        <v>21</v>
      </c>
      <c r="K4" s="14" t="s">
        <v>38</v>
      </c>
      <c r="L4" s="14" t="s">
        <v>39</v>
      </c>
      <c r="M4" s="15" t="s">
        <v>24</v>
      </c>
    </row>
    <row r="5" spans="1:13" s="10" customFormat="1" ht="26" x14ac:dyDescent="0.35">
      <c r="A5" s="11">
        <v>4</v>
      </c>
      <c r="B5" s="12" t="s">
        <v>40</v>
      </c>
      <c r="C5" s="13" t="s">
        <v>14</v>
      </c>
      <c r="D5" s="14" t="s">
        <v>41</v>
      </c>
      <c r="E5" s="14" t="s">
        <v>42</v>
      </c>
      <c r="F5" s="14" t="s">
        <v>43</v>
      </c>
      <c r="G5" s="14" t="s">
        <v>36</v>
      </c>
      <c r="H5" s="14" t="s">
        <v>37</v>
      </c>
      <c r="I5" s="14" t="s">
        <v>20</v>
      </c>
      <c r="J5" s="14" t="s">
        <v>21</v>
      </c>
      <c r="K5" s="14" t="s">
        <v>44</v>
      </c>
      <c r="L5" s="14" t="s">
        <v>45</v>
      </c>
      <c r="M5" s="15" t="s">
        <v>24</v>
      </c>
    </row>
    <row r="6" spans="1:13" s="10" customFormat="1" ht="39" x14ac:dyDescent="0.35">
      <c r="A6" s="11">
        <v>5</v>
      </c>
      <c r="B6" s="12" t="s">
        <v>46</v>
      </c>
      <c r="C6" s="13" t="s">
        <v>47</v>
      </c>
      <c r="D6" s="14" t="s">
        <v>48</v>
      </c>
      <c r="E6" s="14" t="s">
        <v>49</v>
      </c>
      <c r="F6" s="14" t="s">
        <v>50</v>
      </c>
      <c r="G6" s="14" t="s">
        <v>51</v>
      </c>
      <c r="H6" s="14" t="s">
        <v>37</v>
      </c>
      <c r="I6" s="14" t="s">
        <v>52</v>
      </c>
      <c r="J6" s="14" t="s">
        <v>53</v>
      </c>
      <c r="K6" s="14" t="s">
        <v>54</v>
      </c>
      <c r="L6" s="14" t="s">
        <v>55</v>
      </c>
      <c r="M6" s="15" t="s">
        <v>24</v>
      </c>
    </row>
    <row r="7" spans="1:13" s="10" customFormat="1" ht="26" x14ac:dyDescent="0.35">
      <c r="A7" s="11">
        <v>6</v>
      </c>
      <c r="B7" s="12" t="s">
        <v>56</v>
      </c>
      <c r="C7" s="13" t="s">
        <v>47</v>
      </c>
      <c r="D7" s="14" t="s">
        <v>57</v>
      </c>
      <c r="E7" s="14" t="s">
        <v>58</v>
      </c>
      <c r="F7" s="14" t="s">
        <v>59</v>
      </c>
      <c r="G7" s="14" t="s">
        <v>60</v>
      </c>
      <c r="H7" s="14" t="s">
        <v>37</v>
      </c>
      <c r="I7" s="14" t="s">
        <v>52</v>
      </c>
      <c r="J7" s="14" t="s">
        <v>21</v>
      </c>
      <c r="K7" s="14" t="s">
        <v>61</v>
      </c>
      <c r="L7" s="14" t="s">
        <v>62</v>
      </c>
      <c r="M7" s="15" t="s">
        <v>24</v>
      </c>
    </row>
    <row r="8" spans="1:13" s="10" customFormat="1" ht="26" x14ac:dyDescent="0.35">
      <c r="A8" s="11">
        <v>7</v>
      </c>
      <c r="B8" s="12" t="s">
        <v>63</v>
      </c>
      <c r="C8" s="13" t="s">
        <v>14</v>
      </c>
      <c r="D8" s="14" t="s">
        <v>64</v>
      </c>
      <c r="E8" s="14" t="s">
        <v>65</v>
      </c>
      <c r="F8" s="14" t="s">
        <v>66</v>
      </c>
      <c r="G8" s="14" t="s">
        <v>60</v>
      </c>
      <c r="H8" s="14" t="s">
        <v>37</v>
      </c>
      <c r="I8" s="14" t="s">
        <v>20</v>
      </c>
      <c r="J8" s="14" t="s">
        <v>53</v>
      </c>
      <c r="K8" s="14" t="s">
        <v>67</v>
      </c>
      <c r="L8" s="14" t="s">
        <v>68</v>
      </c>
      <c r="M8" s="15" t="s">
        <v>69</v>
      </c>
    </row>
    <row r="9" spans="1:13" s="10" customFormat="1" ht="26" x14ac:dyDescent="0.35">
      <c r="A9" s="11">
        <v>8</v>
      </c>
      <c r="B9" s="12" t="s">
        <v>70</v>
      </c>
      <c r="C9" s="13" t="s">
        <v>14</v>
      </c>
      <c r="D9" s="14" t="s">
        <v>71</v>
      </c>
      <c r="E9" s="14" t="s">
        <v>72</v>
      </c>
      <c r="F9" s="14" t="s">
        <v>73</v>
      </c>
      <c r="G9" s="14" t="s">
        <v>74</v>
      </c>
      <c r="H9" s="14" t="s">
        <v>37</v>
      </c>
      <c r="I9" s="14" t="s">
        <v>20</v>
      </c>
      <c r="J9" s="14" t="s">
        <v>21</v>
      </c>
      <c r="K9" s="14" t="s">
        <v>75</v>
      </c>
      <c r="L9" s="14" t="s">
        <v>76</v>
      </c>
      <c r="M9" s="15" t="s">
        <v>69</v>
      </c>
    </row>
    <row r="10" spans="1:13" s="10" customFormat="1" ht="26" x14ac:dyDescent="0.35">
      <c r="A10" s="11">
        <v>9</v>
      </c>
      <c r="B10" s="12" t="s">
        <v>77</v>
      </c>
      <c r="C10" s="13" t="s">
        <v>14</v>
      </c>
      <c r="D10" s="14" t="s">
        <v>78</v>
      </c>
      <c r="E10" s="14" t="s">
        <v>79</v>
      </c>
      <c r="F10" s="14" t="s">
        <v>80</v>
      </c>
      <c r="G10" s="14" t="s">
        <v>81</v>
      </c>
      <c r="H10" s="14" t="s">
        <v>37</v>
      </c>
      <c r="I10" s="14" t="s">
        <v>52</v>
      </c>
      <c r="J10" s="14" t="s">
        <v>82</v>
      </c>
      <c r="K10" s="14" t="s">
        <v>83</v>
      </c>
      <c r="L10" s="14" t="s">
        <v>84</v>
      </c>
      <c r="M10" s="15" t="s">
        <v>85</v>
      </c>
    </row>
    <row r="11" spans="1:13" s="10" customFormat="1" ht="26" x14ac:dyDescent="0.35">
      <c r="A11" s="11">
        <v>10</v>
      </c>
      <c r="B11" s="12" t="s">
        <v>86</v>
      </c>
      <c r="C11" s="13" t="s">
        <v>14</v>
      </c>
      <c r="D11" s="14" t="s">
        <v>87</v>
      </c>
      <c r="E11" s="14" t="s">
        <v>88</v>
      </c>
      <c r="F11" s="14" t="s">
        <v>89</v>
      </c>
      <c r="G11" s="14" t="s">
        <v>90</v>
      </c>
      <c r="H11" s="14" t="s">
        <v>37</v>
      </c>
      <c r="I11" s="14" t="s">
        <v>52</v>
      </c>
      <c r="J11" s="14" t="s">
        <v>82</v>
      </c>
      <c r="K11" s="14" t="s">
        <v>91</v>
      </c>
      <c r="L11" s="14" t="s">
        <v>92</v>
      </c>
      <c r="M11" s="15" t="s">
        <v>85</v>
      </c>
    </row>
    <row r="12" spans="1:13" s="10" customFormat="1" ht="26" x14ac:dyDescent="0.35">
      <c r="A12" s="11">
        <v>11</v>
      </c>
      <c r="B12" s="12" t="s">
        <v>93</v>
      </c>
      <c r="C12" s="13" t="s">
        <v>14</v>
      </c>
      <c r="D12" s="14" t="s">
        <v>94</v>
      </c>
      <c r="E12" s="14" t="s">
        <v>95</v>
      </c>
      <c r="F12" s="14" t="s">
        <v>96</v>
      </c>
      <c r="G12" s="14" t="s">
        <v>97</v>
      </c>
      <c r="H12" s="14" t="s">
        <v>37</v>
      </c>
      <c r="I12" s="14" t="s">
        <v>20</v>
      </c>
      <c r="J12" s="14" t="s">
        <v>21</v>
      </c>
      <c r="K12" s="14" t="s">
        <v>98</v>
      </c>
      <c r="L12" s="14" t="s">
        <v>99</v>
      </c>
      <c r="M12" s="15" t="s">
        <v>24</v>
      </c>
    </row>
    <row r="13" spans="1:13" s="10" customFormat="1" ht="26" x14ac:dyDescent="0.35">
      <c r="A13" s="11">
        <v>12</v>
      </c>
      <c r="B13" s="12" t="s">
        <v>100</v>
      </c>
      <c r="C13" s="13" t="s">
        <v>47</v>
      </c>
      <c r="D13" s="14" t="s">
        <v>101</v>
      </c>
      <c r="E13" s="14" t="s">
        <v>102</v>
      </c>
      <c r="F13" s="14" t="s">
        <v>103</v>
      </c>
      <c r="G13" s="14" t="s">
        <v>51</v>
      </c>
      <c r="H13" s="14" t="s">
        <v>37</v>
      </c>
      <c r="I13" s="14" t="s">
        <v>20</v>
      </c>
      <c r="J13" s="14" t="s">
        <v>104</v>
      </c>
      <c r="K13" s="14" t="s">
        <v>105</v>
      </c>
      <c r="L13" s="14" t="s">
        <v>106</v>
      </c>
      <c r="M13" s="15" t="s">
        <v>69</v>
      </c>
    </row>
    <row r="14" spans="1:13" s="10" customFormat="1" ht="26" x14ac:dyDescent="0.35">
      <c r="A14" s="11">
        <v>13</v>
      </c>
      <c r="B14" s="12" t="s">
        <v>107</v>
      </c>
      <c r="C14" s="13" t="s">
        <v>108</v>
      </c>
      <c r="D14" s="14" t="s">
        <v>109</v>
      </c>
      <c r="E14" s="14" t="s">
        <v>110</v>
      </c>
      <c r="F14" s="14" t="s">
        <v>111</v>
      </c>
      <c r="G14" s="14" t="s">
        <v>112</v>
      </c>
      <c r="H14" s="14" t="s">
        <v>19</v>
      </c>
      <c r="I14" s="14" t="s">
        <v>20</v>
      </c>
      <c r="J14" s="14" t="s">
        <v>104</v>
      </c>
      <c r="K14" s="14" t="s">
        <v>113</v>
      </c>
      <c r="L14" s="14" t="s">
        <v>114</v>
      </c>
      <c r="M14" s="15" t="s">
        <v>24</v>
      </c>
    </row>
    <row r="15" spans="1:13" s="10" customFormat="1" ht="26" x14ac:dyDescent="0.35">
      <c r="A15" s="11">
        <v>14</v>
      </c>
      <c r="B15" s="12" t="s">
        <v>115</v>
      </c>
      <c r="C15" s="13" t="s">
        <v>108</v>
      </c>
      <c r="D15" s="14" t="s">
        <v>116</v>
      </c>
      <c r="E15" s="14" t="s">
        <v>117</v>
      </c>
      <c r="F15" s="14" t="s">
        <v>118</v>
      </c>
      <c r="G15" s="14" t="s">
        <v>119</v>
      </c>
      <c r="H15" s="14" t="s">
        <v>19</v>
      </c>
      <c r="I15" s="14" t="s">
        <v>20</v>
      </c>
      <c r="J15" s="14" t="s">
        <v>104</v>
      </c>
      <c r="K15" s="14" t="s">
        <v>120</v>
      </c>
      <c r="L15" s="14" t="s">
        <v>121</v>
      </c>
      <c r="M15" s="15" t="s">
        <v>24</v>
      </c>
    </row>
    <row r="16" spans="1:13" s="10" customFormat="1" ht="26" x14ac:dyDescent="0.35">
      <c r="A16" s="11">
        <v>15</v>
      </c>
      <c r="B16" s="12" t="s">
        <v>122</v>
      </c>
      <c r="C16" s="13" t="s">
        <v>108</v>
      </c>
      <c r="D16" s="14" t="s">
        <v>123</v>
      </c>
      <c r="E16" s="14" t="s">
        <v>124</v>
      </c>
      <c r="F16" s="14" t="s">
        <v>125</v>
      </c>
      <c r="G16" s="14" t="s">
        <v>126</v>
      </c>
      <c r="H16" s="14" t="s">
        <v>37</v>
      </c>
      <c r="I16" s="14" t="s">
        <v>20</v>
      </c>
      <c r="J16" s="14" t="s">
        <v>21</v>
      </c>
      <c r="K16" s="14" t="s">
        <v>127</v>
      </c>
      <c r="L16" s="14" t="s">
        <v>128</v>
      </c>
      <c r="M16" s="15" t="s">
        <v>24</v>
      </c>
    </row>
    <row r="17" spans="1:13" s="10" customFormat="1" ht="26" x14ac:dyDescent="0.35">
      <c r="A17" s="11">
        <v>16</v>
      </c>
      <c r="B17" s="12" t="s">
        <v>129</v>
      </c>
      <c r="C17" s="13" t="s">
        <v>130</v>
      </c>
      <c r="D17" s="14" t="s">
        <v>131</v>
      </c>
      <c r="E17" s="14" t="s">
        <v>132</v>
      </c>
      <c r="F17" s="14" t="s">
        <v>133</v>
      </c>
      <c r="G17" s="14" t="s">
        <v>134</v>
      </c>
      <c r="H17" s="14" t="s">
        <v>37</v>
      </c>
      <c r="I17" s="14" t="s">
        <v>52</v>
      </c>
      <c r="J17" s="14" t="s">
        <v>104</v>
      </c>
      <c r="K17" s="14" t="s">
        <v>135</v>
      </c>
      <c r="L17" s="14" t="s">
        <v>136</v>
      </c>
      <c r="M17" s="15" t="s">
        <v>24</v>
      </c>
    </row>
    <row r="18" spans="1:13" s="10" customFormat="1" ht="26" x14ac:dyDescent="0.35">
      <c r="A18" s="11">
        <v>17</v>
      </c>
      <c r="B18" s="12" t="s">
        <v>137</v>
      </c>
      <c r="C18" s="13" t="s">
        <v>130</v>
      </c>
      <c r="D18" s="14" t="s">
        <v>138</v>
      </c>
      <c r="E18" s="14" t="s">
        <v>139</v>
      </c>
      <c r="F18" s="14" t="s">
        <v>140</v>
      </c>
      <c r="G18" s="14" t="s">
        <v>141</v>
      </c>
      <c r="H18" s="14" t="s">
        <v>37</v>
      </c>
      <c r="I18" s="14" t="s">
        <v>52</v>
      </c>
      <c r="J18" s="14" t="s">
        <v>104</v>
      </c>
      <c r="K18" s="14" t="s">
        <v>142</v>
      </c>
      <c r="L18" s="14" t="s">
        <v>143</v>
      </c>
      <c r="M18" s="15" t="s">
        <v>24</v>
      </c>
    </row>
    <row r="19" spans="1:13" s="10" customFormat="1" ht="26" x14ac:dyDescent="0.35">
      <c r="A19" s="11">
        <v>18</v>
      </c>
      <c r="B19" s="12" t="s">
        <v>144</v>
      </c>
      <c r="C19" s="13" t="s">
        <v>130</v>
      </c>
      <c r="D19" s="14" t="s">
        <v>145</v>
      </c>
      <c r="E19" s="14" t="s">
        <v>146</v>
      </c>
      <c r="F19" s="14" t="s">
        <v>147</v>
      </c>
      <c r="G19" s="14" t="s">
        <v>148</v>
      </c>
      <c r="H19" s="14" t="s">
        <v>37</v>
      </c>
      <c r="I19" s="14" t="s">
        <v>52</v>
      </c>
      <c r="J19" s="14" t="s">
        <v>104</v>
      </c>
      <c r="K19" s="14" t="s">
        <v>149</v>
      </c>
      <c r="L19" s="14" t="s">
        <v>150</v>
      </c>
      <c r="M19" s="15" t="s">
        <v>24</v>
      </c>
    </row>
    <row r="20" spans="1:13" s="10" customFormat="1" ht="26" x14ac:dyDescent="0.35">
      <c r="A20" s="11">
        <v>19</v>
      </c>
      <c r="B20" s="12" t="s">
        <v>151</v>
      </c>
      <c r="C20" s="13" t="s">
        <v>130</v>
      </c>
      <c r="D20" s="14" t="s">
        <v>152</v>
      </c>
      <c r="E20" s="14" t="s">
        <v>153</v>
      </c>
      <c r="F20" s="14" t="s">
        <v>154</v>
      </c>
      <c r="G20" s="14" t="s">
        <v>155</v>
      </c>
      <c r="H20" s="14" t="s">
        <v>37</v>
      </c>
      <c r="I20" s="14" t="s">
        <v>52</v>
      </c>
      <c r="J20" s="14" t="s">
        <v>156</v>
      </c>
      <c r="K20" s="14" t="s">
        <v>157</v>
      </c>
      <c r="L20" s="14" t="s">
        <v>158</v>
      </c>
      <c r="M20" s="15" t="s">
        <v>24</v>
      </c>
    </row>
    <row r="21" spans="1:13" s="10" customFormat="1" ht="26" x14ac:dyDescent="0.35">
      <c r="A21" s="11">
        <v>20</v>
      </c>
      <c r="B21" s="12" t="s">
        <v>159</v>
      </c>
      <c r="C21" s="13" t="s">
        <v>160</v>
      </c>
      <c r="D21" s="14" t="s">
        <v>161</v>
      </c>
      <c r="E21" s="14" t="s">
        <v>162</v>
      </c>
      <c r="F21" s="14" t="s">
        <v>163</v>
      </c>
      <c r="G21" s="14" t="s">
        <v>164</v>
      </c>
      <c r="H21" s="14" t="s">
        <v>37</v>
      </c>
      <c r="I21" s="14" t="s">
        <v>52</v>
      </c>
      <c r="J21" s="14" t="s">
        <v>165</v>
      </c>
      <c r="K21" s="14" t="s">
        <v>166</v>
      </c>
      <c r="L21" s="14" t="s">
        <v>167</v>
      </c>
      <c r="M21" s="15" t="s">
        <v>24</v>
      </c>
    </row>
    <row r="22" spans="1:13" s="10" customFormat="1" ht="26" x14ac:dyDescent="0.35">
      <c r="A22" s="11">
        <v>21</v>
      </c>
      <c r="B22" s="12" t="s">
        <v>168</v>
      </c>
      <c r="C22" s="13" t="s">
        <v>160</v>
      </c>
      <c r="D22" s="14" t="s">
        <v>169</v>
      </c>
      <c r="E22" s="14" t="s">
        <v>170</v>
      </c>
      <c r="F22" s="14" t="s">
        <v>171</v>
      </c>
      <c r="G22" s="14" t="s">
        <v>172</v>
      </c>
      <c r="H22" s="14" t="s">
        <v>37</v>
      </c>
      <c r="I22" s="14" t="s">
        <v>173</v>
      </c>
      <c r="J22" s="14" t="s">
        <v>21</v>
      </c>
      <c r="K22" s="14" t="s">
        <v>174</v>
      </c>
      <c r="L22" s="14" t="s">
        <v>175</v>
      </c>
      <c r="M22" s="15" t="s">
        <v>24</v>
      </c>
    </row>
    <row r="23" spans="1:13" s="10" customFormat="1" ht="29" x14ac:dyDescent="0.35">
      <c r="A23" s="11">
        <v>22</v>
      </c>
      <c r="B23" s="12" t="s">
        <v>176</v>
      </c>
      <c r="C23" s="13" t="s">
        <v>160</v>
      </c>
      <c r="D23" s="14" t="s">
        <v>177</v>
      </c>
      <c r="E23" s="14" t="s">
        <v>178</v>
      </c>
      <c r="F23" s="14" t="s">
        <v>179</v>
      </c>
      <c r="G23" s="14" t="s">
        <v>180</v>
      </c>
      <c r="H23" s="14" t="s">
        <v>37</v>
      </c>
      <c r="I23" s="14" t="s">
        <v>52</v>
      </c>
      <c r="J23" s="14" t="s">
        <v>181</v>
      </c>
      <c r="K23" s="14" t="s">
        <v>182</v>
      </c>
      <c r="L23" s="14" t="s">
        <v>183</v>
      </c>
      <c r="M23" s="15" t="s">
        <v>24</v>
      </c>
    </row>
    <row r="24" spans="1:13" s="10" customFormat="1" ht="26" x14ac:dyDescent="0.35">
      <c r="A24" s="11">
        <v>23</v>
      </c>
      <c r="B24" s="12" t="s">
        <v>184</v>
      </c>
      <c r="C24" s="13" t="s">
        <v>160</v>
      </c>
      <c r="D24" s="14" t="s">
        <v>185</v>
      </c>
      <c r="E24" s="14" t="s">
        <v>186</v>
      </c>
      <c r="F24" s="14" t="s">
        <v>187</v>
      </c>
      <c r="G24" s="14" t="s">
        <v>179</v>
      </c>
      <c r="H24" s="14" t="s">
        <v>37</v>
      </c>
      <c r="I24" s="14" t="s">
        <v>20</v>
      </c>
      <c r="J24" s="14" t="s">
        <v>188</v>
      </c>
      <c r="K24" s="14" t="s">
        <v>189</v>
      </c>
      <c r="L24" s="14" t="s">
        <v>190</v>
      </c>
      <c r="M24" s="15" t="s">
        <v>24</v>
      </c>
    </row>
    <row r="25" spans="1:13" s="10" customFormat="1" ht="26" x14ac:dyDescent="0.35">
      <c r="A25" s="11">
        <v>24</v>
      </c>
      <c r="B25" s="12" t="s">
        <v>191</v>
      </c>
      <c r="C25" s="13" t="s">
        <v>160</v>
      </c>
      <c r="D25" s="14" t="s">
        <v>192</v>
      </c>
      <c r="E25" s="14" t="s">
        <v>193</v>
      </c>
      <c r="F25" s="14" t="s">
        <v>194</v>
      </c>
      <c r="G25" s="14" t="s">
        <v>195</v>
      </c>
      <c r="H25" s="14" t="s">
        <v>37</v>
      </c>
      <c r="I25" s="14" t="s">
        <v>20</v>
      </c>
      <c r="J25" s="14" t="s">
        <v>82</v>
      </c>
      <c r="K25" s="14" t="s">
        <v>196</v>
      </c>
      <c r="L25" s="14" t="s">
        <v>197</v>
      </c>
      <c r="M25" s="15" t="s">
        <v>24</v>
      </c>
    </row>
    <row r="26" spans="1:13" s="10" customFormat="1" ht="26" x14ac:dyDescent="0.35">
      <c r="A26" s="11">
        <v>25</v>
      </c>
      <c r="B26" s="12" t="s">
        <v>198</v>
      </c>
      <c r="C26" s="13" t="s">
        <v>14</v>
      </c>
      <c r="D26" s="14" t="s">
        <v>199</v>
      </c>
      <c r="E26" s="14" t="s">
        <v>200</v>
      </c>
      <c r="F26" s="14" t="s">
        <v>201</v>
      </c>
      <c r="G26" s="14" t="s">
        <v>202</v>
      </c>
      <c r="H26" s="14" t="s">
        <v>37</v>
      </c>
      <c r="I26" s="14" t="s">
        <v>20</v>
      </c>
      <c r="J26" s="14" t="s">
        <v>21</v>
      </c>
      <c r="K26" s="14" t="s">
        <v>203</v>
      </c>
      <c r="L26" s="14" t="s">
        <v>204</v>
      </c>
      <c r="M26" s="15" t="s">
        <v>24</v>
      </c>
    </row>
    <row r="27" spans="1:13" s="10" customFormat="1" ht="26" x14ac:dyDescent="0.35">
      <c r="A27" s="11">
        <v>26</v>
      </c>
      <c r="B27" s="12" t="s">
        <v>205</v>
      </c>
      <c r="C27" s="13" t="s">
        <v>14</v>
      </c>
      <c r="D27" s="14" t="s">
        <v>206</v>
      </c>
      <c r="E27" s="14" t="s">
        <v>207</v>
      </c>
      <c r="F27" s="14" t="s">
        <v>208</v>
      </c>
      <c r="G27" s="14" t="s">
        <v>209</v>
      </c>
      <c r="H27" s="14" t="s">
        <v>37</v>
      </c>
      <c r="I27" s="14" t="s">
        <v>20</v>
      </c>
      <c r="J27" s="14" t="s">
        <v>21</v>
      </c>
      <c r="K27" s="14" t="s">
        <v>210</v>
      </c>
      <c r="L27" s="14" t="s">
        <v>211</v>
      </c>
      <c r="M27" s="15" t="s">
        <v>24</v>
      </c>
    </row>
    <row r="28" spans="1:13" s="10" customFormat="1" ht="26" x14ac:dyDescent="0.35">
      <c r="A28" s="11">
        <v>27</v>
      </c>
      <c r="B28" s="12" t="s">
        <v>212</v>
      </c>
      <c r="C28" s="13" t="s">
        <v>160</v>
      </c>
      <c r="D28" s="14" t="s">
        <v>213</v>
      </c>
      <c r="E28" s="14" t="s">
        <v>214</v>
      </c>
      <c r="F28" s="14" t="s">
        <v>215</v>
      </c>
      <c r="G28" s="14" t="s">
        <v>216</v>
      </c>
      <c r="H28" s="14" t="s">
        <v>19</v>
      </c>
      <c r="I28" s="14" t="s">
        <v>20</v>
      </c>
      <c r="J28" s="14" t="s">
        <v>104</v>
      </c>
      <c r="K28" s="14" t="s">
        <v>217</v>
      </c>
      <c r="L28" s="14" t="s">
        <v>218</v>
      </c>
      <c r="M28" s="15" t="s">
        <v>69</v>
      </c>
    </row>
    <row r="29" spans="1:13" s="10" customFormat="1" ht="26" x14ac:dyDescent="0.35">
      <c r="A29" s="11">
        <v>28</v>
      </c>
      <c r="B29" s="12" t="s">
        <v>219</v>
      </c>
      <c r="C29" s="13" t="s">
        <v>220</v>
      </c>
      <c r="D29" s="14" t="s">
        <v>221</v>
      </c>
      <c r="E29" s="14" t="s">
        <v>222</v>
      </c>
      <c r="F29" s="14" t="s">
        <v>223</v>
      </c>
      <c r="G29" s="14" t="s">
        <v>224</v>
      </c>
      <c r="H29" s="14" t="s">
        <v>37</v>
      </c>
      <c r="I29" s="14" t="s">
        <v>52</v>
      </c>
      <c r="J29" s="14" t="s">
        <v>104</v>
      </c>
      <c r="K29" s="14" t="s">
        <v>225</v>
      </c>
      <c r="L29" s="14" t="s">
        <v>226</v>
      </c>
      <c r="M29" s="15" t="s">
        <v>24</v>
      </c>
    </row>
    <row r="30" spans="1:13" s="10" customFormat="1" ht="26" x14ac:dyDescent="0.35">
      <c r="A30" s="11">
        <v>29</v>
      </c>
      <c r="B30" s="12" t="s">
        <v>227</v>
      </c>
      <c r="C30" s="13" t="s">
        <v>220</v>
      </c>
      <c r="D30" s="14" t="s">
        <v>228</v>
      </c>
      <c r="E30" s="14" t="s">
        <v>229</v>
      </c>
      <c r="F30" s="14" t="s">
        <v>230</v>
      </c>
      <c r="G30" s="14" t="s">
        <v>231</v>
      </c>
      <c r="H30" s="14" t="s">
        <v>37</v>
      </c>
      <c r="I30" s="14" t="s">
        <v>52</v>
      </c>
      <c r="J30" s="14" t="s">
        <v>53</v>
      </c>
      <c r="K30" s="14" t="s">
        <v>232</v>
      </c>
      <c r="L30" s="14" t="s">
        <v>233</v>
      </c>
      <c r="M30" s="15" t="s">
        <v>24</v>
      </c>
    </row>
    <row r="31" spans="1:13" s="10" customFormat="1" ht="26" x14ac:dyDescent="0.35">
      <c r="A31" s="16">
        <v>30</v>
      </c>
      <c r="B31" s="17" t="s">
        <v>234</v>
      </c>
      <c r="C31" s="18" t="s">
        <v>220</v>
      </c>
      <c r="D31" s="19" t="s">
        <v>235</v>
      </c>
      <c r="E31" s="19" t="s">
        <v>236</v>
      </c>
      <c r="F31" s="19" t="s">
        <v>237</v>
      </c>
      <c r="G31" s="19" t="s">
        <v>238</v>
      </c>
      <c r="H31" s="19" t="s">
        <v>239</v>
      </c>
      <c r="I31" s="19" t="s">
        <v>173</v>
      </c>
      <c r="J31" s="19" t="s">
        <v>82</v>
      </c>
      <c r="K31" s="19" t="s">
        <v>240</v>
      </c>
      <c r="L31" s="19" t="s">
        <v>241</v>
      </c>
      <c r="M31" s="20" t="s">
        <v>24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tabSelected="1" workbookViewId="0">
      <pane ySplit="3" topLeftCell="A4" activePane="bottomLeft" state="frozen"/>
      <selection pane="bottomLeft" activeCell="F22" sqref="F22"/>
    </sheetView>
  </sheetViews>
  <sheetFormatPr defaultRowHeight="14.5" x14ac:dyDescent="0.35"/>
  <cols>
    <col min="1" max="2" width="31" customWidth="1"/>
    <col min="3" max="3" width="18" customWidth="1"/>
    <col min="4" max="4" width="35" customWidth="1"/>
    <col min="5" max="5" width="18" customWidth="1"/>
    <col min="6" max="6" width="22" customWidth="1"/>
  </cols>
  <sheetData>
    <row r="1" spans="1:6" ht="21" x14ac:dyDescent="0.5">
      <c r="A1" s="2" t="s">
        <v>242</v>
      </c>
      <c r="B1" s="3"/>
      <c r="C1" s="3"/>
      <c r="D1" s="3"/>
      <c r="E1" s="3"/>
      <c r="F1" s="3"/>
    </row>
    <row r="3" spans="1:6" x14ac:dyDescent="0.35">
      <c r="A3" s="21" t="s">
        <v>1</v>
      </c>
      <c r="B3" s="21" t="s">
        <v>243</v>
      </c>
      <c r="C3" s="21" t="s">
        <v>244</v>
      </c>
      <c r="D3" s="21" t="s">
        <v>245</v>
      </c>
      <c r="E3" s="21" t="s">
        <v>246</v>
      </c>
      <c r="F3" s="21" t="s">
        <v>247</v>
      </c>
    </row>
    <row r="4" spans="1:6" x14ac:dyDescent="0.35">
      <c r="A4" s="8" t="s">
        <v>13</v>
      </c>
      <c r="B4" s="22" t="s">
        <v>248</v>
      </c>
      <c r="C4" s="23">
        <v>1250000</v>
      </c>
      <c r="D4" s="22" t="s">
        <v>249</v>
      </c>
      <c r="E4" s="23">
        <v>2700000</v>
      </c>
      <c r="F4" s="24">
        <f>IFERROR(C4/(E4/90),0)</f>
        <v>41.666666666666664</v>
      </c>
    </row>
    <row r="5" spans="1:6" x14ac:dyDescent="0.35">
      <c r="A5" s="8" t="s">
        <v>25</v>
      </c>
      <c r="B5" s="22" t="s">
        <v>28</v>
      </c>
      <c r="C5" s="23">
        <v>2100000</v>
      </c>
      <c r="D5" s="22" t="s">
        <v>250</v>
      </c>
      <c r="E5" s="23">
        <v>4500000</v>
      </c>
      <c r="F5" s="24">
        <f>IFERROR(C5/(E5/90),0)</f>
        <v>42</v>
      </c>
    </row>
    <row r="6" spans="1:6" x14ac:dyDescent="0.35">
      <c r="A6" s="8" t="s">
        <v>32</v>
      </c>
      <c r="B6" s="22" t="s">
        <v>251</v>
      </c>
      <c r="C6" s="23">
        <v>260000</v>
      </c>
      <c r="D6" s="22" t="s">
        <v>36</v>
      </c>
      <c r="E6" s="23">
        <v>2100000</v>
      </c>
      <c r="F6" s="25">
        <f t="shared" ref="F6:F11" si="0">IFERROR(C6/E6,0)</f>
        <v>0.12380952380952381</v>
      </c>
    </row>
    <row r="7" spans="1:6" x14ac:dyDescent="0.35">
      <c r="A7" s="8" t="s">
        <v>46</v>
      </c>
      <c r="B7" s="22" t="s">
        <v>252</v>
      </c>
      <c r="C7" s="23">
        <v>9200</v>
      </c>
      <c r="D7" s="22" t="s">
        <v>51</v>
      </c>
      <c r="E7" s="23">
        <v>10000</v>
      </c>
      <c r="F7" s="25">
        <f t="shared" si="0"/>
        <v>0.92</v>
      </c>
    </row>
    <row r="8" spans="1:6" x14ac:dyDescent="0.35">
      <c r="A8" s="8" t="s">
        <v>56</v>
      </c>
      <c r="B8" s="22" t="s">
        <v>253</v>
      </c>
      <c r="C8" s="23">
        <v>8700</v>
      </c>
      <c r="D8" s="22" t="s">
        <v>60</v>
      </c>
      <c r="E8" s="23">
        <v>9500</v>
      </c>
      <c r="F8" s="25">
        <f t="shared" si="0"/>
        <v>0.91578947368421049</v>
      </c>
    </row>
    <row r="9" spans="1:6" x14ac:dyDescent="0.35">
      <c r="A9" s="8" t="s">
        <v>254</v>
      </c>
      <c r="B9" s="22" t="s">
        <v>66</v>
      </c>
      <c r="C9" s="23">
        <v>760</v>
      </c>
      <c r="D9" s="22" t="s">
        <v>60</v>
      </c>
      <c r="E9" s="23">
        <v>9500</v>
      </c>
      <c r="F9" s="25">
        <f t="shared" si="0"/>
        <v>0.08</v>
      </c>
    </row>
    <row r="10" spans="1:6" x14ac:dyDescent="0.35">
      <c r="A10" s="8" t="s">
        <v>100</v>
      </c>
      <c r="B10" s="22" t="s">
        <v>255</v>
      </c>
      <c r="C10" s="23">
        <v>180</v>
      </c>
      <c r="D10" s="22" t="s">
        <v>51</v>
      </c>
      <c r="E10" s="23">
        <v>10000</v>
      </c>
      <c r="F10" s="25">
        <f>IFERROR(C10/E10,0)</f>
        <v>1.7999999999999999E-2</v>
      </c>
    </row>
    <row r="11" spans="1:6" x14ac:dyDescent="0.35">
      <c r="A11" s="8" t="s">
        <v>77</v>
      </c>
      <c r="B11" s="22" t="s">
        <v>256</v>
      </c>
      <c r="C11" s="23">
        <v>210</v>
      </c>
      <c r="D11" s="22" t="s">
        <v>257</v>
      </c>
      <c r="E11" s="23">
        <v>300</v>
      </c>
      <c r="F11" s="25">
        <f>IFERROR(C11/E11,0)</f>
        <v>0.7</v>
      </c>
    </row>
    <row r="12" spans="1:6" x14ac:dyDescent="0.35">
      <c r="A12" s="8" t="s">
        <v>107</v>
      </c>
      <c r="B12" s="22" t="s">
        <v>258</v>
      </c>
      <c r="C12" s="23">
        <v>350000</v>
      </c>
      <c r="D12" s="22" t="s">
        <v>259</v>
      </c>
      <c r="E12" s="23">
        <v>4500000</v>
      </c>
      <c r="F12" s="24">
        <f>IFERROR(C12/(E12/90),0)</f>
        <v>7</v>
      </c>
    </row>
    <row r="13" spans="1:6" x14ac:dyDescent="0.35">
      <c r="A13" s="8" t="s">
        <v>129</v>
      </c>
      <c r="B13" s="22" t="s">
        <v>260</v>
      </c>
      <c r="C13" s="23">
        <v>4620</v>
      </c>
      <c r="D13" s="22" t="s">
        <v>261</v>
      </c>
      <c r="E13" s="23">
        <v>5000</v>
      </c>
      <c r="F13" s="25">
        <f>IFERROR(C13/E13,0)</f>
        <v>0.92400000000000004</v>
      </c>
    </row>
    <row r="14" spans="1:6" x14ac:dyDescent="0.35">
      <c r="A14" s="8" t="s">
        <v>137</v>
      </c>
      <c r="B14" s="22" t="s">
        <v>262</v>
      </c>
      <c r="C14" s="23">
        <v>1840</v>
      </c>
      <c r="D14" s="22" t="s">
        <v>263</v>
      </c>
      <c r="E14" s="23">
        <v>2000</v>
      </c>
      <c r="F14" s="25">
        <f>IFERROR(C14/E14,0)</f>
        <v>0.92</v>
      </c>
    </row>
    <row r="15" spans="1:6" x14ac:dyDescent="0.35">
      <c r="A15" s="8" t="s">
        <v>159</v>
      </c>
      <c r="B15" s="22" t="s">
        <v>264</v>
      </c>
      <c r="C15" s="23">
        <v>2380000</v>
      </c>
      <c r="D15" s="22" t="s">
        <v>265</v>
      </c>
      <c r="E15" s="23">
        <v>2500000</v>
      </c>
      <c r="F15" s="25">
        <f>IFERROR(C15/E15,0)</f>
        <v>0.95199999999999996</v>
      </c>
    </row>
    <row r="16" spans="1:6" x14ac:dyDescent="0.35">
      <c r="A16" s="8" t="s">
        <v>168</v>
      </c>
      <c r="B16" s="22" t="s">
        <v>266</v>
      </c>
      <c r="C16" s="23">
        <v>2380000</v>
      </c>
      <c r="D16" s="22" t="s">
        <v>172</v>
      </c>
      <c r="E16" s="23">
        <v>4500000</v>
      </c>
      <c r="F16" s="25">
        <f>IFERROR(C16/E16,0)</f>
        <v>0.52888888888888885</v>
      </c>
    </row>
    <row r="17" spans="1:6" x14ac:dyDescent="0.35">
      <c r="A17" s="8" t="s">
        <v>184</v>
      </c>
      <c r="B17" s="22" t="s">
        <v>267</v>
      </c>
      <c r="C17" s="23">
        <v>145000</v>
      </c>
      <c r="D17" s="22" t="s">
        <v>268</v>
      </c>
      <c r="E17" s="23">
        <v>2380000</v>
      </c>
      <c r="F17" s="25">
        <f>IFERROR(C17/E17,0)</f>
        <v>6.0924369747899158E-2</v>
      </c>
    </row>
    <row r="18" spans="1:6" x14ac:dyDescent="0.35">
      <c r="A18" s="8" t="s">
        <v>205</v>
      </c>
      <c r="B18" s="22" t="s">
        <v>269</v>
      </c>
      <c r="C18" s="23">
        <v>65000</v>
      </c>
      <c r="D18" s="22" t="s">
        <v>209</v>
      </c>
      <c r="E18" s="23">
        <v>2500000</v>
      </c>
      <c r="F18" s="25">
        <f>IFERROR(C18/E18,0)</f>
        <v>2.5999999999999999E-2</v>
      </c>
    </row>
    <row r="19" spans="1:6" x14ac:dyDescent="0.35">
      <c r="A19" s="8" t="s">
        <v>219</v>
      </c>
      <c r="B19" s="22" t="s">
        <v>270</v>
      </c>
      <c r="C19" s="23">
        <v>8800</v>
      </c>
      <c r="D19" s="22" t="s">
        <v>271</v>
      </c>
      <c r="E19" s="23">
        <v>9000</v>
      </c>
      <c r="F19" s="25">
        <f>IFERROR(C19/E19,0)</f>
        <v>0.97777777777777775</v>
      </c>
    </row>
    <row r="20" spans="1:6" x14ac:dyDescent="0.35">
      <c r="A20" s="8" t="s">
        <v>227</v>
      </c>
      <c r="B20" s="22" t="s">
        <v>272</v>
      </c>
      <c r="C20" s="23">
        <v>472</v>
      </c>
      <c r="D20" s="22" t="s">
        <v>231</v>
      </c>
      <c r="E20" s="23">
        <v>500</v>
      </c>
      <c r="F20" s="25">
        <f>IFERROR(C20/E20,0)</f>
        <v>0.94399999999999995</v>
      </c>
    </row>
    <row r="21" spans="1:6" x14ac:dyDescent="0.35">
      <c r="A21" s="8" t="s">
        <v>234</v>
      </c>
      <c r="B21" s="22" t="s">
        <v>273</v>
      </c>
      <c r="C21" s="23">
        <v>2380000</v>
      </c>
      <c r="D21" s="22" t="s">
        <v>274</v>
      </c>
      <c r="E21" s="23">
        <v>120</v>
      </c>
      <c r="F21" s="26">
        <f>IFERROR(C21/E21,0)</f>
        <v>19833.333333333332</v>
      </c>
    </row>
    <row r="23" spans="1:6" x14ac:dyDescent="0.35">
      <c r="A23" s="4" t="s">
        <v>275</v>
      </c>
      <c r="B23" s="3"/>
      <c r="C23" s="3"/>
      <c r="D23" s="3"/>
      <c r="E23" s="3"/>
      <c r="F23" s="3"/>
    </row>
  </sheetData>
  <mergeCells count="2">
    <mergeCell ref="A1:F1"/>
    <mergeCell ref="A23:F23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showGridLines="0"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31" customWidth="1"/>
    <col min="2" max="2" width="48" customWidth="1"/>
    <col min="3" max="3" width="40" customWidth="1"/>
    <col min="4" max="4" width="16" customWidth="1"/>
    <col min="5" max="5" width="87.90625" customWidth="1"/>
  </cols>
  <sheetData>
    <row r="1" spans="1:5" ht="32.5" customHeight="1" x14ac:dyDescent="0.35">
      <c r="A1" s="5" t="s">
        <v>1</v>
      </c>
      <c r="B1" s="6" t="s">
        <v>276</v>
      </c>
      <c r="C1" s="6" t="s">
        <v>277</v>
      </c>
      <c r="D1" s="6" t="s">
        <v>278</v>
      </c>
      <c r="E1" s="7" t="s">
        <v>279</v>
      </c>
    </row>
    <row r="2" spans="1:5" ht="32.5" customHeight="1" x14ac:dyDescent="0.35">
      <c r="A2" s="31" t="s">
        <v>13</v>
      </c>
      <c r="B2" s="32" t="s">
        <v>280</v>
      </c>
      <c r="C2" s="32" t="s">
        <v>281</v>
      </c>
      <c r="D2" s="32" t="s">
        <v>282</v>
      </c>
      <c r="E2" s="33" t="s">
        <v>283</v>
      </c>
    </row>
    <row r="3" spans="1:5" ht="32.5" customHeight="1" x14ac:dyDescent="0.35">
      <c r="A3" s="31" t="s">
        <v>46</v>
      </c>
      <c r="B3" s="32" t="s">
        <v>284</v>
      </c>
      <c r="C3" s="32" t="s">
        <v>285</v>
      </c>
      <c r="D3" s="32" t="s">
        <v>286</v>
      </c>
      <c r="E3" s="33" t="s">
        <v>287</v>
      </c>
    </row>
    <row r="4" spans="1:5" ht="32.5" customHeight="1" x14ac:dyDescent="0.35">
      <c r="A4" s="31" t="s">
        <v>254</v>
      </c>
      <c r="B4" s="32" t="s">
        <v>288</v>
      </c>
      <c r="C4" s="32" t="s">
        <v>289</v>
      </c>
      <c r="D4" s="32" t="s">
        <v>290</v>
      </c>
      <c r="E4" s="33" t="s">
        <v>291</v>
      </c>
    </row>
    <row r="5" spans="1:5" ht="32.5" customHeight="1" x14ac:dyDescent="0.35">
      <c r="A5" s="31" t="s">
        <v>159</v>
      </c>
      <c r="B5" s="32" t="s">
        <v>292</v>
      </c>
      <c r="C5" s="32" t="s">
        <v>293</v>
      </c>
      <c r="D5" s="32" t="s">
        <v>294</v>
      </c>
      <c r="E5" s="33" t="s">
        <v>295</v>
      </c>
    </row>
    <row r="6" spans="1:5" ht="32.5" customHeight="1" x14ac:dyDescent="0.35">
      <c r="A6" s="34" t="s">
        <v>184</v>
      </c>
      <c r="B6" s="35" t="s">
        <v>296</v>
      </c>
      <c r="C6" s="35" t="s">
        <v>297</v>
      </c>
      <c r="D6" s="35" t="s">
        <v>298</v>
      </c>
      <c r="E6" s="36" t="s">
        <v>299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showGridLines="0" workbookViewId="0">
      <pane ySplit="1" topLeftCell="A3" activePane="bottomLeft" state="frozen"/>
      <selection pane="bottomLeft"/>
    </sheetView>
  </sheetViews>
  <sheetFormatPr defaultRowHeight="14.5" x14ac:dyDescent="0.35"/>
  <cols>
    <col min="1" max="1" width="28" customWidth="1"/>
    <col min="2" max="2" width="100" customWidth="1"/>
  </cols>
  <sheetData>
    <row r="1" spans="1:2" x14ac:dyDescent="0.35">
      <c r="A1" s="5" t="s">
        <v>300</v>
      </c>
      <c r="B1" s="7" t="s">
        <v>301</v>
      </c>
    </row>
    <row r="2" spans="1:2" x14ac:dyDescent="0.35">
      <c r="A2" s="27" t="s">
        <v>302</v>
      </c>
      <c r="B2" s="28" t="s">
        <v>303</v>
      </c>
    </row>
    <row r="3" spans="1:2" x14ac:dyDescent="0.35">
      <c r="A3" s="27" t="s">
        <v>304</v>
      </c>
      <c r="B3" s="28" t="s">
        <v>305</v>
      </c>
    </row>
    <row r="4" spans="1:2" x14ac:dyDescent="0.35">
      <c r="A4" s="27" t="s">
        <v>306</v>
      </c>
      <c r="B4" s="28" t="s">
        <v>307</v>
      </c>
    </row>
    <row r="5" spans="1:2" x14ac:dyDescent="0.35">
      <c r="A5" s="27" t="s">
        <v>308</v>
      </c>
      <c r="B5" s="28" t="s">
        <v>309</v>
      </c>
    </row>
    <row r="6" spans="1:2" x14ac:dyDescent="0.35">
      <c r="A6" s="27" t="s">
        <v>310</v>
      </c>
      <c r="B6" s="28" t="s">
        <v>311</v>
      </c>
    </row>
    <row r="7" spans="1:2" x14ac:dyDescent="0.35">
      <c r="A7" s="27" t="s">
        <v>312</v>
      </c>
      <c r="B7" s="28" t="s">
        <v>313</v>
      </c>
    </row>
    <row r="8" spans="1:2" x14ac:dyDescent="0.35">
      <c r="A8" s="27" t="s">
        <v>314</v>
      </c>
      <c r="B8" s="28" t="s">
        <v>315</v>
      </c>
    </row>
    <row r="9" spans="1:2" x14ac:dyDescent="0.35">
      <c r="A9" s="27" t="s">
        <v>316</v>
      </c>
      <c r="B9" s="28" t="s">
        <v>317</v>
      </c>
    </row>
    <row r="10" spans="1:2" x14ac:dyDescent="0.35">
      <c r="A10" s="27" t="s">
        <v>318</v>
      </c>
      <c r="B10" s="28" t="s">
        <v>319</v>
      </c>
    </row>
    <row r="11" spans="1:2" x14ac:dyDescent="0.35">
      <c r="A11" s="27" t="s">
        <v>320</v>
      </c>
      <c r="B11" s="28" t="s">
        <v>321</v>
      </c>
    </row>
    <row r="12" spans="1:2" x14ac:dyDescent="0.35">
      <c r="A12" s="27" t="s">
        <v>322</v>
      </c>
      <c r="B12" s="28" t="s">
        <v>323</v>
      </c>
    </row>
    <row r="13" spans="1:2" x14ac:dyDescent="0.35">
      <c r="A13" s="29" t="s">
        <v>324</v>
      </c>
      <c r="B13" s="30" t="s">
        <v>325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showGridLines="0" workbookViewId="0">
      <selection activeCell="B22" sqref="B22"/>
    </sheetView>
  </sheetViews>
  <sheetFormatPr defaultRowHeight="14.5" x14ac:dyDescent="0.35"/>
  <cols>
    <col min="1" max="1" width="27" customWidth="1"/>
    <col min="2" max="2" width="110" customWidth="1"/>
  </cols>
  <sheetData>
    <row r="1" spans="1:2" ht="21" x14ac:dyDescent="0.5">
      <c r="A1" s="37" t="s">
        <v>339</v>
      </c>
      <c r="B1" s="38"/>
    </row>
    <row r="2" spans="1:2" ht="17" x14ac:dyDescent="0.4">
      <c r="A2" s="39" t="s">
        <v>326</v>
      </c>
      <c r="B2" s="38"/>
    </row>
    <row r="3" spans="1:2" x14ac:dyDescent="0.35">
      <c r="A3" s="1"/>
      <c r="B3" s="1"/>
    </row>
    <row r="4" spans="1:2" ht="29" x14ac:dyDescent="0.35">
      <c r="A4" s="9" t="s">
        <v>302</v>
      </c>
      <c r="B4" s="22" t="s">
        <v>327</v>
      </c>
    </row>
    <row r="5" spans="1:2" x14ac:dyDescent="0.35">
      <c r="A5" s="1"/>
      <c r="B5" s="1"/>
    </row>
    <row r="6" spans="1:2" ht="29" x14ac:dyDescent="0.35">
      <c r="A6" s="9" t="s">
        <v>328</v>
      </c>
      <c r="B6" s="22" t="s">
        <v>329</v>
      </c>
    </row>
    <row r="7" spans="1:2" x14ac:dyDescent="0.35">
      <c r="A7" s="1"/>
      <c r="B7" s="1"/>
    </row>
    <row r="8" spans="1:2" ht="43.5" x14ac:dyDescent="0.35">
      <c r="A8" s="9" t="s">
        <v>330</v>
      </c>
      <c r="B8" s="22" t="s">
        <v>331</v>
      </c>
    </row>
    <row r="9" spans="1:2" x14ac:dyDescent="0.35">
      <c r="A9" s="1"/>
      <c r="B9" s="1"/>
    </row>
    <row r="10" spans="1:2" x14ac:dyDescent="0.35">
      <c r="A10" s="9" t="s">
        <v>332</v>
      </c>
      <c r="B10" s="22" t="s">
        <v>24</v>
      </c>
    </row>
    <row r="11" spans="1:2" x14ac:dyDescent="0.35">
      <c r="A11" s="9" t="s">
        <v>333</v>
      </c>
      <c r="B11" s="22" t="s">
        <v>69</v>
      </c>
    </row>
    <row r="12" spans="1:2" x14ac:dyDescent="0.35">
      <c r="A12" s="9" t="s">
        <v>334</v>
      </c>
      <c r="B12" s="22" t="s">
        <v>85</v>
      </c>
    </row>
    <row r="13" spans="1:2" x14ac:dyDescent="0.35">
      <c r="A13" s="1"/>
      <c r="B13" s="1"/>
    </row>
    <row r="14" spans="1:2" x14ac:dyDescent="0.35">
      <c r="A14" s="9" t="s">
        <v>335</v>
      </c>
      <c r="B14" s="22" t="s">
        <v>336</v>
      </c>
    </row>
    <row r="15" spans="1:2" x14ac:dyDescent="0.35">
      <c r="A15" s="1"/>
      <c r="B15" s="1"/>
    </row>
    <row r="16" spans="1:2" ht="29" x14ac:dyDescent="0.35">
      <c r="A16" s="9" t="s">
        <v>337</v>
      </c>
      <c r="B16" s="22" t="s">
        <v>338</v>
      </c>
    </row>
  </sheetData>
  <mergeCells count="2">
    <mergeCell ref="A2:B2"/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215C00262DA744A50A36C6E8B99254" ma:contentTypeVersion="19" ma:contentTypeDescription="Create a new document." ma:contentTypeScope="" ma:versionID="32a7b1c0e5e201cd65a3565521a8ef02">
  <xsd:schema xmlns:xsd="http://www.w3.org/2001/XMLSchema" xmlns:xs="http://www.w3.org/2001/XMLSchema" xmlns:p="http://schemas.microsoft.com/office/2006/metadata/properties" xmlns:ns1="http://schemas.microsoft.com/sharepoint/v3" xmlns:ns2="63ad65fb-0e1b-4995-abb8-bb790a0465e6" xmlns:ns3="9f754ebe-bd47-43ec-8d4a-4ab387386602" targetNamespace="http://schemas.microsoft.com/office/2006/metadata/properties" ma:root="true" ma:fieldsID="6be71cab6f6f49eb97602187caaf6fe4" ns1:_="" ns2:_="" ns3:_="">
    <xsd:import namespace="http://schemas.microsoft.com/sharepoint/v3"/>
    <xsd:import namespace="63ad65fb-0e1b-4995-abb8-bb790a0465e6"/>
    <xsd:import namespace="9f754ebe-bd47-43ec-8d4a-4ab3873866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d65fb-0e1b-4995-abb8-bb790a046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3fe8d3c-0f3e-402f-8378-068a6b534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4ebe-bd47-43ec-8d4a-4ab38738660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5808335-d415-4ba0-89a0-ebd76934d26c}" ma:internalName="TaxCatchAll" ma:showField="CatchAllData" ma:web="9f754ebe-bd47-43ec-8d4a-4ab3873866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3ad65fb-0e1b-4995-abb8-bb790a0465e6">
      <Terms xmlns="http://schemas.microsoft.com/office/infopath/2007/PartnerControls"/>
    </lcf76f155ced4ddcb4097134ff3c332f>
    <_ip_UnifiedCompliancePolicyProperties xmlns="http://schemas.microsoft.com/sharepoint/v3" xsi:nil="true"/>
    <TaxCatchAll xmlns="9f754ebe-bd47-43ec-8d4a-4ab387386602" xsi:nil="true"/>
  </documentManagement>
</p:properties>
</file>

<file path=customXml/itemProps1.xml><?xml version="1.0" encoding="utf-8"?>
<ds:datastoreItem xmlns:ds="http://schemas.openxmlformats.org/officeDocument/2006/customXml" ds:itemID="{B0115E21-83C0-4AC4-9830-46EBDA830781}"/>
</file>

<file path=customXml/itemProps2.xml><?xml version="1.0" encoding="utf-8"?>
<ds:datastoreItem xmlns:ds="http://schemas.openxmlformats.org/officeDocument/2006/customXml" ds:itemID="{9396FB9C-D3A4-4366-AA8F-E2FBF2746790}"/>
</file>

<file path=customXml/itemProps3.xml><?xml version="1.0" encoding="utf-8"?>
<ds:datastoreItem xmlns:ds="http://schemas.openxmlformats.org/officeDocument/2006/customXml" ds:itemID="{4255AFAB-6C17-4F0E-9A0E-4131ED197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Formula Handbook</vt:lpstr>
      <vt:lpstr>KPI Calculator</vt:lpstr>
      <vt:lpstr>Worked Examples</vt:lpstr>
      <vt:lpstr>Metric Governance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RCM KPI Formula Handbook</dc:title>
  <dc:subject>Healthcare revenue cycle KPI formulas and calculator</dc:subject>
  <dc:creator>Dominic Joseph</dc:creator>
  <cp:keywords/>
  <dc:description/>
  <cp:lastModifiedBy>Dominic Joseph</cp:lastModifiedBy>
  <cp:revision/>
  <dcterms:created xsi:type="dcterms:W3CDTF">2026-10-05T08:07:00Z</dcterms:created>
  <dcterms:modified xsi:type="dcterms:W3CDTF">2026-10-05T08:20:25Z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0x01010010215C00262DA744A50A36C6E8B99254</vt:lpwstr>
  </property>
</Properties>
</file>